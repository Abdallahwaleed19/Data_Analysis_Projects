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0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allahWaleed\Downloads\"/>
    </mc:Choice>
  </mc:AlternateContent>
  <xr:revisionPtr revIDLastSave="0" documentId="13_ncr:1_{20189A4B-7DBF-4563-98F4-E023AFA5EFE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البلاغات_DB" sheetId="2" r:id="rId2"/>
    <sheet name="الإحالات_DB" sheetId="3" r:id="rId3"/>
    <sheet name="الدوريات_DB" sheetId="4" r:id="rId4"/>
    <sheet name="الدورات_DB" sheetId="5" r:id="rId5"/>
    <sheet name="التمارين_DB" sheetId="6" r:id="rId6"/>
    <sheet name="الزيارات_DB" sheetId="7" r:id="rId7"/>
    <sheet name="الاحتياجات_DB" sheetId="8" r:id="rId8"/>
    <sheet name="القوى_البشرية_DB" sheetId="9" r:id="rId9"/>
    <sheet name="المركبات_DB" sheetId="10" r:id="rId10"/>
    <sheet name="الإحصائيات" sheetId="11" r:id="rId11"/>
    <sheet name="الإحالات" sheetId="12" r:id="rId12"/>
    <sheet name="البلاغات" sheetId="13" r:id="rId13"/>
    <sheet name="التمارين" sheetId="14" r:id="rId14"/>
    <sheet name="الدورات" sheetId="15" r:id="rId15"/>
    <sheet name="الزيارات" sheetId="16" r:id="rId16"/>
    <sheet name="الإحتياجات" sheetId="17" r:id="rId17"/>
    <sheet name="الدوريات" sheetId="18" r:id="rId18"/>
    <sheet name="جاهزية القوى البشرية" sheetId="19" r:id="rId19"/>
    <sheet name="المركبات" sheetId="20" r:id="rId20"/>
  </sheets>
  <calcPr calcId="191029" iterateDelta="1E-4"/>
</workbook>
</file>

<file path=xl/calcChain.xml><?xml version="1.0" encoding="utf-8"?>
<calcChain xmlns="http://schemas.openxmlformats.org/spreadsheetml/2006/main">
  <c r="E32" i="20" l="1"/>
  <c r="F32" i="20" s="1"/>
  <c r="B32" i="20"/>
  <c r="F31" i="20"/>
  <c r="E31" i="20"/>
  <c r="B31" i="20"/>
  <c r="E30" i="20"/>
  <c r="F30" i="20" s="1"/>
  <c r="B30" i="20"/>
  <c r="E29" i="20"/>
  <c r="F29" i="20" s="1"/>
  <c r="B29" i="20"/>
  <c r="E28" i="20"/>
  <c r="F28" i="20" s="1"/>
  <c r="B28" i="20"/>
  <c r="F27" i="20"/>
  <c r="E27" i="20"/>
  <c r="B27" i="20"/>
  <c r="E26" i="20"/>
  <c r="F26" i="20" s="1"/>
  <c r="B26" i="20"/>
  <c r="E25" i="20"/>
  <c r="F25" i="20" s="1"/>
  <c r="B25" i="20"/>
  <c r="E24" i="20"/>
  <c r="F24" i="20" s="1"/>
  <c r="B24" i="20"/>
  <c r="F23" i="20"/>
  <c r="E23" i="20"/>
  <c r="B23" i="20"/>
  <c r="E22" i="20"/>
  <c r="F22" i="20" s="1"/>
  <c r="B22" i="20"/>
  <c r="E21" i="20"/>
  <c r="F21" i="20" s="1"/>
  <c r="B21" i="20"/>
  <c r="E20" i="20"/>
  <c r="F20" i="20" s="1"/>
  <c r="B20" i="20"/>
  <c r="F19" i="20"/>
  <c r="E19" i="20"/>
  <c r="B19" i="20"/>
  <c r="E18" i="20"/>
  <c r="F18" i="20" s="1"/>
  <c r="B18" i="20"/>
  <c r="E17" i="20"/>
  <c r="F17" i="20" s="1"/>
  <c r="B17" i="20"/>
  <c r="E16" i="20"/>
  <c r="F16" i="20" s="1"/>
  <c r="B16" i="20"/>
  <c r="F15" i="20"/>
  <c r="E15" i="20"/>
  <c r="B15" i="20"/>
  <c r="E14" i="20"/>
  <c r="F14" i="20" s="1"/>
  <c r="B14" i="20"/>
  <c r="E13" i="20"/>
  <c r="F13" i="20" s="1"/>
  <c r="B13" i="20"/>
  <c r="E12" i="20"/>
  <c r="F12" i="20" s="1"/>
  <c r="B12" i="20"/>
  <c r="F11" i="20"/>
  <c r="E11" i="20"/>
  <c r="B11" i="20"/>
  <c r="E10" i="20"/>
  <c r="F10" i="20" s="1"/>
  <c r="B10" i="20"/>
  <c r="E9" i="20"/>
  <c r="F9" i="20" s="1"/>
  <c r="B9" i="20"/>
  <c r="E8" i="20"/>
  <c r="F8" i="20" s="1"/>
  <c r="B8" i="20"/>
  <c r="F7" i="20"/>
  <c r="E7" i="20"/>
  <c r="B7" i="20"/>
  <c r="E6" i="20"/>
  <c r="F6" i="20" s="1"/>
  <c r="B6" i="20"/>
  <c r="E5" i="20"/>
  <c r="F5" i="20" s="1"/>
  <c r="B5" i="20"/>
  <c r="E4" i="20"/>
  <c r="F4" i="20" s="1"/>
  <c r="B4" i="20"/>
  <c r="F3" i="20"/>
  <c r="E3" i="20"/>
  <c r="B3" i="20"/>
  <c r="E2" i="20"/>
  <c r="F2" i="20" s="1"/>
  <c r="B2" i="20"/>
  <c r="F32" i="19"/>
  <c r="G32" i="19" s="1"/>
  <c r="B32" i="19"/>
  <c r="F31" i="19"/>
  <c r="G31" i="19" s="1"/>
  <c r="B31" i="19"/>
  <c r="G30" i="19"/>
  <c r="F30" i="19"/>
  <c r="B30" i="19"/>
  <c r="F29" i="19"/>
  <c r="G29" i="19" s="1"/>
  <c r="B29" i="19"/>
  <c r="F28" i="19"/>
  <c r="G28" i="19" s="1"/>
  <c r="B28" i="19"/>
  <c r="F27" i="19"/>
  <c r="G27" i="19" s="1"/>
  <c r="B27" i="19"/>
  <c r="G26" i="19"/>
  <c r="F26" i="19"/>
  <c r="B26" i="19"/>
  <c r="F25" i="19"/>
  <c r="G25" i="19" s="1"/>
  <c r="B25" i="19"/>
  <c r="F24" i="19"/>
  <c r="G24" i="19" s="1"/>
  <c r="B24" i="19"/>
  <c r="F23" i="19"/>
  <c r="G23" i="19" s="1"/>
  <c r="B23" i="19"/>
  <c r="G22" i="19"/>
  <c r="F22" i="19"/>
  <c r="B22" i="19"/>
  <c r="F21" i="19"/>
  <c r="G21" i="19" s="1"/>
  <c r="B21" i="19"/>
  <c r="F20" i="19"/>
  <c r="G20" i="19" s="1"/>
  <c r="B20" i="19"/>
  <c r="F19" i="19"/>
  <c r="G19" i="19" s="1"/>
  <c r="B19" i="19"/>
  <c r="G18" i="19"/>
  <c r="F18" i="19"/>
  <c r="B18" i="19"/>
  <c r="F17" i="19"/>
  <c r="G17" i="19" s="1"/>
  <c r="B17" i="19"/>
  <c r="F16" i="19"/>
  <c r="G16" i="19" s="1"/>
  <c r="B16" i="19"/>
  <c r="F15" i="19"/>
  <c r="G15" i="19" s="1"/>
  <c r="B15" i="19"/>
  <c r="G14" i="19"/>
  <c r="F14" i="19"/>
  <c r="B14" i="19"/>
  <c r="F13" i="19"/>
  <c r="G13" i="19" s="1"/>
  <c r="B13" i="19"/>
  <c r="F12" i="19"/>
  <c r="G12" i="19" s="1"/>
  <c r="B12" i="19"/>
  <c r="F11" i="19"/>
  <c r="G11" i="19" s="1"/>
  <c r="B11" i="19"/>
  <c r="G10" i="19"/>
  <c r="F10" i="19"/>
  <c r="B10" i="19"/>
  <c r="F9" i="19"/>
  <c r="G9" i="19" s="1"/>
  <c r="B9" i="19"/>
  <c r="F8" i="19"/>
  <c r="G8" i="19" s="1"/>
  <c r="B8" i="19"/>
  <c r="F7" i="19"/>
  <c r="G7" i="19" s="1"/>
  <c r="B7" i="19"/>
  <c r="G6" i="19"/>
  <c r="F6" i="19"/>
  <c r="B6" i="19"/>
  <c r="F5" i="19"/>
  <c r="G5" i="19" s="1"/>
  <c r="B5" i="19"/>
  <c r="F4" i="19"/>
  <c r="G4" i="19" s="1"/>
  <c r="B4" i="19"/>
  <c r="F3" i="19"/>
  <c r="G3" i="19" s="1"/>
  <c r="B3" i="19"/>
  <c r="G2" i="19"/>
  <c r="F2" i="19"/>
  <c r="B2" i="19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B5" i="18"/>
  <c r="B4" i="18"/>
  <c r="B3" i="18"/>
  <c r="B2" i="18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3" i="17"/>
  <c r="B2" i="17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B3" i="16"/>
  <c r="B2" i="16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B3" i="14"/>
  <c r="B2" i="14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</calcChain>
</file>

<file path=xl/sharedStrings.xml><?xml version="1.0" encoding="utf-8"?>
<sst xmlns="http://schemas.openxmlformats.org/spreadsheetml/2006/main" count="1534" uniqueCount="294">
  <si>
    <t>🛡️</t>
  </si>
  <si>
    <t>📊  لوحة المتابعة التشغيلية الرئيسية</t>
  </si>
  <si>
    <t>📅 آخر تحديث: 2026/06/06</t>
  </si>
  <si>
    <t>لوحة
المتابعة</t>
  </si>
  <si>
    <t>مؤشرات الأداء الرئيسية</t>
  </si>
  <si>
    <t>📢</t>
  </si>
  <si>
    <t>31</t>
  </si>
  <si>
    <t>📄</t>
  </si>
  <si>
    <t>🚔</t>
  </si>
  <si>
    <t>828</t>
  </si>
  <si>
    <t>إجمالي البلاغات</t>
  </si>
  <si>
    <t>إجمالي الإحالات</t>
  </si>
  <si>
    <t>إجمالي الدوريات</t>
  </si>
  <si>
    <t>🏠</t>
  </si>
  <si>
    <t>الرئيسية</t>
  </si>
  <si>
    <t>🎓</t>
  </si>
  <si>
    <t>👥</t>
  </si>
  <si>
    <t>19</t>
  </si>
  <si>
    <t>🏃</t>
  </si>
  <si>
    <t>إجمالي الدورات</t>
  </si>
  <si>
    <t>إجمالي الزيارات</t>
  </si>
  <si>
    <t>إجمالي التمارين</t>
  </si>
  <si>
    <t>البلاغات</t>
  </si>
  <si>
    <t>📋</t>
  </si>
  <si>
    <t>👮</t>
  </si>
  <si>
    <t>81.3%</t>
  </si>
  <si>
    <t>🚗</t>
  </si>
  <si>
    <t>78.1%</t>
  </si>
  <si>
    <t>الاحتياجات</t>
  </si>
  <si>
    <t>جاهزية القوى البشرية</t>
  </si>
  <si>
    <t>جاهزية المركبات</t>
  </si>
  <si>
    <t>الإحالات</t>
  </si>
  <si>
    <t>الدوريات</t>
  </si>
  <si>
    <t xml:space="preserve">  📢  توزيع البلاغات حسب النوع</t>
  </si>
  <si>
    <t xml:space="preserve">  📄  الإحالات حسب الجهة</t>
  </si>
  <si>
    <t>الدورات</t>
  </si>
  <si>
    <t>التمارين</t>
  </si>
  <si>
    <t>الزيارات</t>
  </si>
  <si>
    <t xml:space="preserve">  🚔  الدوريات حسب القسم</t>
  </si>
  <si>
    <t xml:space="preserve">  👥  الزيارات عبر الزمن</t>
  </si>
  <si>
    <t>القوى البشرية</t>
  </si>
  <si>
    <t>المركبات</t>
  </si>
  <si>
    <t>⚙️</t>
  </si>
  <si>
    <t>الإعدادات</t>
  </si>
  <si>
    <t xml:space="preserve">  🏃  التمارين حسب النوع</t>
  </si>
  <si>
    <t xml:space="preserve">  🎓  الدورات حسب الاسم</t>
  </si>
  <si>
    <t>نوع البلاغ</t>
  </si>
  <si>
    <t>العدد</t>
  </si>
  <si>
    <t>أمن وسلامة</t>
  </si>
  <si>
    <t>جنائي</t>
  </si>
  <si>
    <t>مروري</t>
  </si>
  <si>
    <t>الجهة</t>
  </si>
  <si>
    <t>الدفاع المدني</t>
  </si>
  <si>
    <t>كهرماء</t>
  </si>
  <si>
    <t>بلدية الوكرة</t>
  </si>
  <si>
    <t>وزارة الداخلية</t>
  </si>
  <si>
    <t>إدارة المرور</t>
  </si>
  <si>
    <t>البلدية</t>
  </si>
  <si>
    <t>القسم</t>
  </si>
  <si>
    <t>المجموع</t>
  </si>
  <si>
    <t>بوابة نقل وتوزيع الغاز</t>
  </si>
  <si>
    <t>دوريات أم الحول</t>
  </si>
  <si>
    <t>دوريات رأس أبو فنطاس</t>
  </si>
  <si>
    <t>قسم الدوريات الأمنية</t>
  </si>
  <si>
    <t>التاريخ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</si>
  <si>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</si>
  <si>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</si>
  <si>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</si>
  <si>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</si>
  <si>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</si>
  <si>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</si>
  <si>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</si>
  <si>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</si>
  <si>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</si>
  <si>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</si>
  <si>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</si>
  <si>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</si>
  <si>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</si>
  <si>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</si>
  <si>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النوع</t>
  </si>
  <si>
    <t>إخلاء وهمي</t>
  </si>
  <si>
    <t>حريق</t>
  </si>
  <si>
    <t>تسرب مواد خطرة</t>
  </si>
  <si>
    <t>إسعافات أولية</t>
  </si>
  <si>
    <t>الدورة</t>
  </si>
  <si>
    <t>المنتسبون</t>
  </si>
  <si>
    <t xml:space="preserve">دورة أدارة الازمات والكوارث </t>
  </si>
  <si>
    <t>دورة الاستجابة السريعة</t>
  </si>
  <si>
    <t>دورة حماية المنشآت الصناعية (المستوى 4)</t>
  </si>
  <si>
    <t>📢  لوحة متابعة البلاغات</t>
  </si>
  <si>
    <t>🏠 الرئيسية</t>
  </si>
  <si>
    <t>مؤشرات البلاغات</t>
  </si>
  <si>
    <t>🔴</t>
  </si>
  <si>
    <t>7</t>
  </si>
  <si>
    <t>🟠</t>
  </si>
  <si>
    <t>6</t>
  </si>
  <si>
    <t>🟡</t>
  </si>
  <si>
    <t>18</t>
  </si>
  <si>
    <t xml:space="preserve">  📊  توزيع البلاغات حسب النوع</t>
  </si>
  <si>
    <t xml:space="preserve">  🏢  البلاغات حسب القسم</t>
  </si>
  <si>
    <t xml:space="preserve">  📈  تطور البلاغات عبر الزمن</t>
  </si>
  <si>
    <t>أم الحول</t>
  </si>
  <si>
    <t>رأس أبو فنطاس</t>
  </si>
  <si>
    <t>الأسبوع</t>
  </si>
  <si>
    <t>الأسبوع الأول</t>
  </si>
  <si>
    <t>الأسبوع الثالث</t>
  </si>
  <si>
    <t>الأسبوع الثاني</t>
  </si>
  <si>
    <t>الأسبوع الخامس</t>
  </si>
  <si>
    <t>الأسبوع الرابع</t>
  </si>
  <si>
    <t>📄  لوحة متابعة الإحالات</t>
  </si>
  <si>
    <t>مؤشرات الإحالات</t>
  </si>
  <si>
    <t>🏢</t>
  </si>
  <si>
    <t>8</t>
  </si>
  <si>
    <t>🏆</t>
  </si>
  <si>
    <t>📅</t>
  </si>
  <si>
    <t>5</t>
  </si>
  <si>
    <t>عدد الجهات</t>
  </si>
  <si>
    <t>أكثر جهة إحالة</t>
  </si>
  <si>
    <t>أسابيع</t>
  </si>
  <si>
    <t xml:space="preserve">  🏢  الإحالات حسب الجهة</t>
  </si>
  <si>
    <t xml:space="preserve">  🏛️  الإحالات حسب القسم</t>
  </si>
  <si>
    <t>شرطة الوكرة</t>
  </si>
  <si>
    <t>إدارة الدوريات</t>
  </si>
  <si>
    <t>🚔  لوحة متابعة الدوريات</t>
  </si>
  <si>
    <t>مؤشرات الدوريات</t>
  </si>
  <si>
    <t>🌅</t>
  </si>
  <si>
    <t>336</t>
  </si>
  <si>
    <t>🌆</t>
  </si>
  <si>
    <t>271</t>
  </si>
  <si>
    <t>🌙</t>
  </si>
  <si>
    <t>221</t>
  </si>
  <si>
    <t>الصباح</t>
  </si>
  <si>
    <t>العصر</t>
  </si>
  <si>
    <t>الليل</t>
  </si>
  <si>
    <t xml:space="preserve">  🏢  الدوريات حسب القسم</t>
  </si>
  <si>
    <t xml:space="preserve">  📊  توزيع الورديات</t>
  </si>
  <si>
    <t xml:space="preserve">  📋  تفاصيل الدوريات الأسبوعية</t>
  </si>
  <si>
    <t>الوردية</t>
  </si>
  <si>
    <t>صباح</t>
  </si>
  <si>
    <t>عصر</t>
  </si>
  <si>
    <t>ليل</t>
  </si>
  <si>
    <t>🎓  لوحة متابعة الدورات</t>
  </si>
  <si>
    <t>مؤشرات الدورات</t>
  </si>
  <si>
    <t>603</t>
  </si>
  <si>
    <t>📚</t>
  </si>
  <si>
    <t>3</t>
  </si>
  <si>
    <t>19.5</t>
  </si>
  <si>
    <t>إجمالي المنتسبين</t>
  </si>
  <si>
    <t>أسماء الدورات</t>
  </si>
  <si>
    <t>متوسط المنتسبين</t>
  </si>
  <si>
    <t xml:space="preserve">  📊  المنتسبون حسب الدورة</t>
  </si>
  <si>
    <t xml:space="preserve">  📅  الدورات حسب الأسبوع</t>
  </si>
  <si>
    <t>🏃  لوحة متابعة التمارين</t>
  </si>
  <si>
    <t>مؤشرات التمارين</t>
  </si>
  <si>
    <t>596</t>
  </si>
  <si>
    <t>📊</t>
  </si>
  <si>
    <t>4</t>
  </si>
  <si>
    <t>📈</t>
  </si>
  <si>
    <t>19.2</t>
  </si>
  <si>
    <t>إجمالي المشاركين</t>
  </si>
  <si>
    <t>أنواع التمارين</t>
  </si>
  <si>
    <t>متوسط المشاركين</t>
  </si>
  <si>
    <t xml:space="preserve">  📊  التمارين حسب النوع</t>
  </si>
  <si>
    <t xml:space="preserve">  🏢  المشاركون حسب المحطة</t>
  </si>
  <si>
    <t>المحطة</t>
  </si>
  <si>
    <t>المشاركون</t>
  </si>
  <si>
    <t>👥  لوحة متابعة الزيارات</t>
  </si>
  <si>
    <t>مؤشرات الزيارات</t>
  </si>
  <si>
    <t>0.6</t>
  </si>
  <si>
    <t>المحطات</t>
  </si>
  <si>
    <t>الأسابيع</t>
  </si>
  <si>
    <t>متوسط يومي</t>
  </si>
  <si>
    <t xml:space="preserve">  📈  الزيارات عبر الزمن</t>
  </si>
  <si>
    <t xml:space="preserve">  🏢  الزيارات حسب المحطة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</si>
  <si>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</si>
  <si>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</si>
  <si>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</si>
  <si>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</si>
  <si>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</si>
  <si>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</si>
  <si>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</si>
  <si>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</si>
  <si>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</si>
  <si>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</si>
  <si>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</si>
  <si>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</si>
  <si>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</si>
  <si>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</si>
  <si>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</si>
  <si>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</si>
  <si>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</si>
  <si>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الدوريات الأمنية</t>
  </si>
  <si>
    <t>📋  لوحة متابعة الاحتياجات</t>
  </si>
  <si>
    <t>مؤشرات الاحتياجات</t>
  </si>
  <si>
    <t>10</t>
  </si>
  <si>
    <t>إجمالي الاحتياجات</t>
  </si>
  <si>
    <t>أنواع الاحتياجات</t>
  </si>
  <si>
    <t xml:space="preserve">  📋  جدول الاحتياجات التفصيلي</t>
  </si>
  <si>
    <t>#</t>
  </si>
  <si>
    <t>الاحتياج</t>
  </si>
  <si>
    <t>الأولوية</t>
  </si>
  <si>
    <t>توفير أجهزة لاسلكية</t>
  </si>
  <si>
    <t>🔴 عالية</t>
  </si>
  <si>
    <t>صيانة كاميرات المراقبة</t>
  </si>
  <si>
    <t>🟡 متوسطة</t>
  </si>
  <si>
    <t>تحديث أنظمة الحريق</t>
  </si>
  <si>
    <t>تدريب إسعافات أولية</t>
  </si>
  <si>
    <t>زيادة عدد الدوريات</t>
  </si>
  <si>
    <t>توفير طفايات حريق</t>
  </si>
  <si>
    <t>صيانة بوابات الدخول</t>
  </si>
  <si>
    <t>تحديث أجهزة الإنذار</t>
  </si>
  <si>
    <t>دعم فريق الطوارئ</t>
  </si>
  <si>
    <t>تحسين الإضاءة الخارجية</t>
  </si>
  <si>
    <t xml:space="preserve">  📊  الاحتياجات حسب المحطة</t>
  </si>
  <si>
    <t>👮  لوحة جاهزية القوى البشرية</t>
  </si>
  <si>
    <t>مؤشرات القوى البشرية</t>
  </si>
  <si>
    <t>4.3</t>
  </si>
  <si>
    <t>🏥</t>
  </si>
  <si>
    <t>4.5</t>
  </si>
  <si>
    <t>❌</t>
  </si>
  <si>
    <t>8.7</t>
  </si>
  <si>
    <t>نسبة الجاهزية</t>
  </si>
  <si>
    <t>متوسط الإجازات</t>
  </si>
  <si>
    <t>متوسط الإجازات المرضية</t>
  </si>
  <si>
    <t>متوسط الغياب</t>
  </si>
  <si>
    <t xml:space="preserve">  📈  تطور الجاهزية عبر الزمن</t>
  </si>
  <si>
    <t xml:space="preserve">  📊  توزيع الغياب والإجازات</t>
  </si>
  <si>
    <t xml:space="preserve">  📋  تفاصيل الجاهزية اليومية</t>
  </si>
  <si>
    <t>الكلي</t>
  </si>
  <si>
    <t>الإجازات</t>
  </si>
  <si>
    <t>المرضية</t>
  </si>
  <si>
    <t>الغياب</t>
  </si>
  <si>
    <t>الجاهزية</t>
  </si>
  <si>
    <t>إجازات مستحقة</t>
  </si>
  <si>
    <t>إجازات مرضية</t>
  </si>
  <si>
    <t>غياب</t>
  </si>
  <si>
    <t>🚗  لوحة متابعة المركبات</t>
  </si>
  <si>
    <t>مؤشرات المركبات</t>
  </si>
  <si>
    <t>70</t>
  </si>
  <si>
    <t>✅</t>
  </si>
  <si>
    <t>55</t>
  </si>
  <si>
    <t>🔧</t>
  </si>
  <si>
    <t>15</t>
  </si>
  <si>
    <t>إجمالي المركبات</t>
  </si>
  <si>
    <t>المستخدمة (متوسط)</t>
  </si>
  <si>
    <t>خارج الخدمة (متوسط)</t>
  </si>
  <si>
    <t xml:space="preserve">  📈  تطور جاهزية المركبات</t>
  </si>
  <si>
    <t xml:space="preserve">  🔧  المستخدمة vs خارج الخدمة</t>
  </si>
  <si>
    <t xml:space="preserve">  📋  تفاصيل المركبات اليومية</t>
  </si>
  <si>
    <t>المستخدمة</t>
  </si>
  <si>
    <t>خارج الخدمة</t>
  </si>
  <si>
    <t>الحالة</t>
  </si>
  <si>
    <t>مستخدمة</t>
  </si>
  <si>
    <t>زوار</t>
  </si>
  <si>
    <t>سيارات</t>
  </si>
  <si>
    <t>RAPID</t>
  </si>
  <si>
    <t>زيارة مشروع</t>
  </si>
  <si>
    <t>نجم</t>
  </si>
  <si>
    <t xml:space="preserve">عدد الموظفين </t>
  </si>
  <si>
    <t>الجهة المحالة</t>
  </si>
  <si>
    <t>الموضوع</t>
  </si>
  <si>
    <t>رقم الكتاب</t>
  </si>
  <si>
    <t>متابعة حادث مروري</t>
  </si>
  <si>
    <t>ص/145</t>
  </si>
  <si>
    <t>استفسار بشأن موقع</t>
  </si>
  <si>
    <t>ص/168</t>
  </si>
  <si>
    <t>إجراء سلامة احترازي</t>
  </si>
  <si>
    <t>ص/169</t>
  </si>
  <si>
    <t>تحويل بلاغ فني</t>
  </si>
  <si>
    <t>و/212</t>
  </si>
  <si>
    <t>متابعة بلاغ أمني</t>
  </si>
  <si>
    <t>طلب صيانة عاجل</t>
  </si>
  <si>
    <t>و/176</t>
  </si>
  <si>
    <t>تقرير شهري</t>
  </si>
  <si>
    <t>ص/198</t>
  </si>
  <si>
    <t>تحويل بلاغ</t>
  </si>
  <si>
    <t>تنسيق تشغيل ميداني</t>
  </si>
  <si>
    <t>ك/154</t>
  </si>
  <si>
    <t>طلب صيانة</t>
  </si>
  <si>
    <t>مراجعة إجراءات السلامة</t>
  </si>
  <si>
    <t>د/220</t>
  </si>
  <si>
    <t>متابعة حادث</t>
  </si>
  <si>
    <t>استفسار عام</t>
  </si>
  <si>
    <t>متابعة بلاغ</t>
  </si>
  <si>
    <t>نوع التمرين</t>
  </si>
  <si>
    <t>عدد المشاركين</t>
  </si>
  <si>
    <t xml:space="preserve">الأسبوع </t>
  </si>
  <si>
    <t>اسم الدورة</t>
  </si>
  <si>
    <t>عدد المنتسبين</t>
  </si>
  <si>
    <t>عدد الزيارات</t>
  </si>
  <si>
    <t>العدد الكلي</t>
  </si>
  <si>
    <t>الإجازات المستحقة</t>
  </si>
  <si>
    <t>الاجازات المرضية</t>
  </si>
  <si>
    <t xml:space="preserve">جاهزية المركبات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</si>
</sst>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6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sz val="18"/>
      <color rgb="FFFFFFFF"/>
      <name val="Arial"/>
      <charset val="1"/>
    </font>
    <font>
      <sz val="10"/>
      <color rgb="FFC0D0E8"/>
      <name val="Arial"/>
      <charset val="1"/>
    </font>
    <font>
      <b/>
      <sz val="10"/>
      <color rgb="FFC0D0E8"/>
      <name val="Arial"/>
      <charset val="1"/>
    </font>
    <font>
      <b/>
      <sz val="13"/>
      <color rgb="FF0A2342"/>
      <name val="Arial"/>
      <charset val="1"/>
    </font>
    <font>
      <sz val="18"/>
      <name val="Arial"/>
      <charset val="1"/>
    </font>
    <font>
      <b/>
      <sz val="16"/>
      <color rgb="FFDC2626"/>
      <name val="Arial"/>
      <charset val="1"/>
    </font>
    <font>
      <b/>
      <sz val="16"/>
      <color rgb="FF123B6D"/>
      <name val="Arial"/>
      <charset val="1"/>
    </font>
    <font>
      <b/>
      <sz val="16"/>
      <color rgb="FF0A2342"/>
      <name val="Arial"/>
      <charset val="1"/>
    </font>
    <font>
      <sz val="9"/>
      <color rgb="FF475569"/>
      <name val="Arial"/>
      <charset val="1"/>
    </font>
    <font>
      <b/>
      <sz val="10"/>
      <color rgb="FFFFFFFF"/>
      <name val="Arial"/>
      <charset val="1"/>
    </font>
    <font>
      <b/>
      <sz val="16"/>
      <color rgb="FF7C3AED"/>
      <name val="Arial"/>
      <charset val="1"/>
    </font>
    <font>
      <b/>
      <sz val="16"/>
      <color rgb="FF0F766E"/>
      <name val="Arial"/>
      <charset val="1"/>
    </font>
    <font>
      <b/>
      <sz val="16"/>
      <color rgb="FF16A34A"/>
      <name val="Arial"/>
      <charset val="1"/>
    </font>
    <font>
      <b/>
      <sz val="16"/>
      <color rgb="FFEA580C"/>
      <name val="Arial"/>
      <charset val="1"/>
    </font>
    <font>
      <b/>
      <sz val="12"/>
      <color rgb="FFFFFFFF"/>
      <name val="Arial"/>
      <charset val="1"/>
    </font>
    <font>
      <sz val="11"/>
      <color theme="1"/>
      <name val="FreeSans"/>
      <family val="2"/>
    </font>
    <font>
      <b/>
      <sz val="9"/>
      <color rgb="FF0A2342"/>
      <name val="Arial"/>
      <charset val="1"/>
    </font>
    <font>
      <b/>
      <sz val="12"/>
      <color rgb="FFDC2626"/>
      <name val="Arial"/>
      <charset val="1"/>
    </font>
    <font>
      <b/>
      <sz val="16"/>
      <color rgb="FF991B1B"/>
      <name val="Arial"/>
      <charset val="1"/>
    </font>
    <font>
      <b/>
      <sz val="16"/>
      <color rgb="FFF59E0B"/>
      <name val="Arial"/>
      <charset val="1"/>
    </font>
    <font>
      <b/>
      <sz val="12"/>
      <color rgb="FF123B6D"/>
      <name val="Arial"/>
      <charset val="1"/>
    </font>
    <font>
      <b/>
      <sz val="12"/>
      <color rgb="FF0A2342"/>
      <name val="Arial"/>
      <charset val="1"/>
    </font>
    <font>
      <b/>
      <sz val="16"/>
      <color rgb="FF4338CA"/>
      <name val="Arial"/>
      <charset val="1"/>
    </font>
    <font>
      <sz val="9"/>
      <color rgb="FF1E293B"/>
      <name val="Arial"/>
      <charset val="1"/>
    </font>
    <font>
      <b/>
      <sz val="12"/>
      <color rgb="FF7C3AED"/>
      <name val="Arial"/>
      <charset val="1"/>
    </font>
    <font>
      <b/>
      <sz val="12"/>
      <color rgb="FF16A34A"/>
      <name val="Arial"/>
      <charset val="1"/>
    </font>
    <font>
      <b/>
      <sz val="12"/>
      <color rgb="FF0F766E"/>
      <name val="Arial"/>
      <charset val="1"/>
    </font>
    <font>
      <b/>
      <sz val="12"/>
      <color rgb="FFEA580C"/>
      <name val="Arial"/>
      <charset val="1"/>
    </font>
    <font>
      <sz val="9"/>
      <name val="Arial"/>
      <charset val="1"/>
    </font>
    <font>
      <sz val="13"/>
      <color rgb="FFFFFFFF"/>
      <name val="Segoe UI Emoji"/>
    </font>
    <font>
      <b/>
      <sz val="10"/>
      <color rgb="FFFFFFFF"/>
      <name val="Arial"/>
    </font>
    <font>
      <sz val="11"/>
      <color rgb="FFFFFFFF"/>
      <name val="Calibri"/>
    </font>
    <font>
      <sz val="10"/>
      <color rgb="FFFFFFFF"/>
      <name val="Calibri"/>
    </font>
    <font>
      <sz val="10"/>
      <color rgb="FFFFFFFF"/>
      <name val="Arial"/>
    </font>
  </fonts>
  <fills count="18">
    <fill>
      <patternFill patternType="none"/>
    </fill>
    <fill>
      <patternFill patternType="gray125"/>
    </fill>
    <fill>
      <patternFill patternType="solid">
        <fgColor rgb="FF0A2342"/>
        <bgColor rgb="FF1E293B"/>
      </patternFill>
    </fill>
    <fill>
      <patternFill patternType="solid">
        <fgColor rgb="FF123B6D"/>
        <bgColor rgb="FF1E293B"/>
      </patternFill>
    </fill>
    <fill>
      <patternFill patternType="solid">
        <fgColor rgb="FF0F766E"/>
        <bgColor rgb="FF008080"/>
      </patternFill>
    </fill>
    <fill>
      <patternFill patternType="solid">
        <fgColor rgb="FFF8FAFC"/>
        <bgColor rgb="FFF9F9F9"/>
      </patternFill>
    </fill>
    <fill>
      <patternFill patternType="solid">
        <fgColor rgb="FFDC2626"/>
        <bgColor rgb="FF991B1B"/>
      </patternFill>
    </fill>
    <fill>
      <patternFill patternType="solid">
        <fgColor rgb="FFFFFFFF"/>
        <bgColor rgb="FFF8FAFC"/>
      </patternFill>
    </fill>
    <fill>
      <patternFill patternType="solid">
        <fgColor rgb="FF7C3AED"/>
        <bgColor rgb="FF4338CA"/>
      </patternFill>
    </fill>
    <fill>
      <patternFill patternType="solid">
        <fgColor rgb="FF16A34A"/>
        <bgColor rgb="FF008080"/>
      </patternFill>
    </fill>
    <fill>
      <patternFill patternType="solid">
        <fgColor rgb="FFEA580C"/>
        <bgColor rgb="FFC0504D"/>
      </patternFill>
    </fill>
    <fill>
      <patternFill patternType="solid">
        <fgColor rgb="FFE2E8F0"/>
        <bgColor rgb="FFF0F4F8"/>
      </patternFill>
    </fill>
    <fill>
      <patternFill patternType="solid">
        <fgColor rgb="FF991B1B"/>
        <bgColor rgb="FF800000"/>
      </patternFill>
    </fill>
    <fill>
      <patternFill patternType="solid">
        <fgColor rgb="FFF59E0B"/>
        <bgColor rgb="FFFFCC00"/>
      </patternFill>
    </fill>
    <fill>
      <patternFill patternType="solid">
        <fgColor rgb="FF4338CA"/>
        <bgColor rgb="FF7C3AED"/>
      </patternFill>
    </fill>
    <fill>
      <patternFill patternType="solid">
        <fgColor rgb="FFF0F4F8"/>
        <bgColor rgb="FFF9F9F9"/>
      </patternFill>
    </fill>
    <fill>
      <patternFill patternType="solid">
        <fgColor rgb="FF0F766E"/>
      </patternFill>
    </fill>
    <fill>
      <patternFill patternType="solid">
        <fgColor rgb="FF0A2342"/>
      </patternFill>
    </fill>
  </fills>
  <borders count="45">
    <border>
      <left/>
      <right/>
      <top/>
      <bottom/>
      <diagonal/>
    </border>
    <border>
      <left style="medium">
        <color rgb="FFDC2626"/>
      </left>
      <right/>
      <top style="thin">
        <color rgb="FFE2E8F0"/>
      </top>
      <bottom/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medium">
        <color rgb="FF123B6D"/>
      </left>
      <right/>
      <top style="thin">
        <color rgb="FFE2E8F0"/>
      </top>
      <bottom/>
      <diagonal/>
    </border>
    <border>
      <left style="medium">
        <color rgb="FF0A2342"/>
      </left>
      <right/>
      <top style="thin">
        <color rgb="FFE2E8F0"/>
      </top>
      <bottom/>
      <diagonal/>
    </border>
    <border>
      <left style="medium">
        <color rgb="FFDC2626"/>
      </left>
      <right/>
      <top/>
      <bottom/>
      <diagonal/>
    </border>
    <border>
      <left/>
      <right style="thin">
        <color rgb="FFE2E8F0"/>
      </right>
      <top/>
      <bottom/>
      <diagonal/>
    </border>
    <border>
      <left style="medium">
        <color rgb="FF123B6D"/>
      </left>
      <right/>
      <top/>
      <bottom/>
      <diagonal/>
    </border>
    <border>
      <left style="medium">
        <color rgb="FF0A2342"/>
      </left>
      <right/>
      <top/>
      <bottom/>
      <diagonal/>
    </border>
    <border>
      <left style="medium">
        <color rgb="FFDC2626"/>
      </left>
      <right/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medium">
        <color rgb="FF123B6D"/>
      </left>
      <right/>
      <top/>
      <bottom style="thin">
        <color rgb="FFE2E8F0"/>
      </bottom>
      <diagonal/>
    </border>
    <border>
      <left style="medium">
        <color rgb="FF0A2342"/>
      </left>
      <right/>
      <top/>
      <bottom style="thin">
        <color rgb="FFE2E8F0"/>
      </bottom>
      <diagonal/>
    </border>
    <border>
      <left style="medium">
        <color rgb="FF7C3AED"/>
      </left>
      <right/>
      <top style="thin">
        <color rgb="FFE2E8F0"/>
      </top>
      <bottom/>
      <diagonal/>
    </border>
    <border>
      <left style="medium">
        <color rgb="FF0F766E"/>
      </left>
      <right/>
      <top style="thin">
        <color rgb="FFE2E8F0"/>
      </top>
      <bottom/>
      <diagonal/>
    </border>
    <border>
      <left style="medium">
        <color rgb="FF16A34A"/>
      </left>
      <right/>
      <top style="thin">
        <color rgb="FFE2E8F0"/>
      </top>
      <bottom/>
      <diagonal/>
    </border>
    <border>
      <left style="medium">
        <color rgb="FF7C3AED"/>
      </left>
      <right/>
      <top/>
      <bottom/>
      <diagonal/>
    </border>
    <border>
      <left style="medium">
        <color rgb="FF0F766E"/>
      </left>
      <right/>
      <top/>
      <bottom/>
      <diagonal/>
    </border>
    <border>
      <left style="medium">
        <color rgb="FF16A34A"/>
      </left>
      <right/>
      <top/>
      <bottom/>
      <diagonal/>
    </border>
    <border>
      <left style="medium">
        <color rgb="FF7C3AED"/>
      </left>
      <right/>
      <top/>
      <bottom style="thin">
        <color rgb="FFE2E8F0"/>
      </bottom>
      <diagonal/>
    </border>
    <border>
      <left style="medium">
        <color rgb="FF0F766E"/>
      </left>
      <right/>
      <top/>
      <bottom style="thin">
        <color rgb="FFE2E8F0"/>
      </bottom>
      <diagonal/>
    </border>
    <border>
      <left style="medium">
        <color rgb="FF16A34A"/>
      </left>
      <right/>
      <top/>
      <bottom style="thin">
        <color rgb="FFE2E8F0"/>
      </bottom>
      <diagonal/>
    </border>
    <border>
      <left style="medium">
        <color rgb="FFEA580C"/>
      </left>
      <right/>
      <top style="thin">
        <color rgb="FFE2E8F0"/>
      </top>
      <bottom/>
      <diagonal/>
    </border>
    <border>
      <left style="medium">
        <color rgb="FFEA580C"/>
      </left>
      <right/>
      <top/>
      <bottom/>
      <diagonal/>
    </border>
    <border>
      <left style="medium">
        <color rgb="FFEA580C"/>
      </left>
      <right/>
      <top/>
      <bottom style="thin">
        <color rgb="FFE2E8F0"/>
      </bottom>
      <diagonal/>
    </border>
    <border>
      <left style="medium">
        <color rgb="FF991B1B"/>
      </left>
      <right/>
      <top style="thin">
        <color rgb="FFE2E8F0"/>
      </top>
      <bottom/>
      <diagonal/>
    </border>
    <border>
      <left style="medium">
        <color rgb="FFF59E0B"/>
      </left>
      <right/>
      <top style="thin">
        <color rgb="FFE2E8F0"/>
      </top>
      <bottom/>
      <diagonal/>
    </border>
    <border>
      <left style="medium">
        <color rgb="FF991B1B"/>
      </left>
      <right/>
      <top/>
      <bottom/>
      <diagonal/>
    </border>
    <border>
      <left style="medium">
        <color rgb="FFF59E0B"/>
      </left>
      <right/>
      <top/>
      <bottom/>
      <diagonal/>
    </border>
    <border>
      <left style="medium">
        <color rgb="FF991B1B"/>
      </left>
      <right/>
      <top/>
      <bottom style="thin">
        <color rgb="FFE2E8F0"/>
      </bottom>
      <diagonal/>
    </border>
    <border>
      <left style="medium">
        <color rgb="FFF59E0B"/>
      </left>
      <right/>
      <top/>
      <bottom style="thin">
        <color rgb="FFE2E8F0"/>
      </bottom>
      <diagonal/>
    </border>
    <border>
      <left style="medium">
        <color rgb="FF4338CA"/>
      </left>
      <right/>
      <top style="thin">
        <color rgb="FFE2E8F0"/>
      </top>
      <bottom/>
      <diagonal/>
    </border>
    <border>
      <left style="medium">
        <color rgb="FF4338CA"/>
      </left>
      <right/>
      <top/>
      <bottom/>
      <diagonal/>
    </border>
    <border>
      <left style="medium">
        <color rgb="FF4338CA"/>
      </left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1E3A8A"/>
      </left>
      <right/>
      <top/>
      <bottom/>
      <diagonal/>
    </border>
    <border>
      <left style="medium">
        <color rgb="FF0A2342"/>
      </left>
      <right/>
      <top/>
      <bottom/>
      <diagonal/>
    </border>
    <border>
      <left style="medium">
        <color rgb="FFDC2626"/>
      </left>
      <right/>
      <top/>
      <bottom/>
      <diagonal/>
    </border>
    <border>
      <left style="medium">
        <color rgb="FF7C3AED"/>
      </left>
      <right/>
      <top/>
      <bottom/>
      <diagonal/>
    </border>
    <border>
      <left style="medium">
        <color rgb="FF0D9488"/>
      </left>
      <right/>
      <top/>
      <bottom/>
      <diagonal/>
    </border>
    <border>
      <left style="medium">
        <color rgb="FFD97706"/>
      </left>
      <right/>
      <top/>
      <bottom/>
      <diagonal/>
    </border>
    <border>
      <left style="medium">
        <color rgb="FF059669"/>
      </left>
      <right/>
      <top/>
      <bottom/>
      <diagonal/>
    </border>
    <border>
      <left style="medium">
        <color rgb="FFDB2777"/>
      </left>
      <right/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1" xfId="0" applyFill="1" applyBorder="1"/>
    <xf numFmtId="0" fontId="0" fillId="3" borderId="4" xfId="0" applyFill="1" applyBorder="1"/>
    <xf numFmtId="0" fontId="0" fillId="2" borderId="5" xfId="0" applyFill="1" applyBorder="1"/>
    <xf numFmtId="0" fontId="0" fillId="6" borderId="6" xfId="0" applyFill="1" applyBorder="1"/>
    <xf numFmtId="0" fontId="0" fillId="3" borderId="8" xfId="0" applyFill="1" applyBorder="1"/>
    <xf numFmtId="0" fontId="0" fillId="2" borderId="9" xfId="0" applyFill="1" applyBorder="1"/>
    <xf numFmtId="0" fontId="0" fillId="3" borderId="0" xfId="0" applyFill="1"/>
    <xf numFmtId="0" fontId="0" fillId="6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0" fillId="3" borderId="13" xfId="0" applyFill="1" applyBorder="1"/>
    <xf numFmtId="0" fontId="0" fillId="2" borderId="14" xfId="0" applyFill="1" applyBorder="1"/>
    <xf numFmtId="0" fontId="0" fillId="2" borderId="0" xfId="0" applyFill="1"/>
    <xf numFmtId="0" fontId="0" fillId="8" borderId="15" xfId="0" applyFill="1" applyBorder="1"/>
    <xf numFmtId="0" fontId="0" fillId="4" borderId="16" xfId="0" applyFill="1" applyBorder="1"/>
    <xf numFmtId="0" fontId="0" fillId="9" borderId="17" xfId="0" applyFill="1" applyBorder="1"/>
    <xf numFmtId="0" fontId="0" fillId="8" borderId="18" xfId="0" applyFill="1" applyBorder="1"/>
    <xf numFmtId="0" fontId="0" fillId="4" borderId="19" xfId="0" applyFill="1" applyBorder="1"/>
    <xf numFmtId="0" fontId="0" fillId="9" borderId="20" xfId="0" applyFill="1" applyBorder="1"/>
    <xf numFmtId="0" fontId="0" fillId="8" borderId="21" xfId="0" applyFill="1" applyBorder="1"/>
    <xf numFmtId="0" fontId="0" fillId="4" borderId="22" xfId="0" applyFill="1" applyBorder="1"/>
    <xf numFmtId="0" fontId="0" fillId="9" borderId="23" xfId="0" applyFill="1" applyBorder="1"/>
    <xf numFmtId="0" fontId="0" fillId="10" borderId="24" xfId="0" applyFill="1" applyBorder="1"/>
    <xf numFmtId="0" fontId="0" fillId="10" borderId="25" xfId="0" applyFill="1" applyBorder="1"/>
    <xf numFmtId="0" fontId="0" fillId="10" borderId="26" xfId="0" applyFill="1" applyBorder="1"/>
    <xf numFmtId="0" fontId="17" fillId="0" borderId="0" xfId="0" applyFont="1"/>
    <xf numFmtId="0" fontId="18" fillId="11" borderId="0" xfId="0" applyFont="1" applyFill="1" applyAlignment="1">
      <alignment horizontal="center" vertical="center" readingOrder="1"/>
    </xf>
    <xf numFmtId="0" fontId="0" fillId="12" borderId="27" xfId="0" applyFill="1" applyBorder="1"/>
    <xf numFmtId="0" fontId="0" fillId="13" borderId="28" xfId="0" applyFill="1" applyBorder="1"/>
    <xf numFmtId="0" fontId="0" fillId="12" borderId="29" xfId="0" applyFill="1" applyBorder="1"/>
    <xf numFmtId="0" fontId="0" fillId="13" borderId="30" xfId="0" applyFill="1" applyBorder="1"/>
    <xf numFmtId="0" fontId="0" fillId="12" borderId="31" xfId="0" applyFill="1" applyBorder="1"/>
    <xf numFmtId="0" fontId="0" fillId="13" borderId="32" xfId="0" applyFill="1" applyBorder="1"/>
    <xf numFmtId="0" fontId="0" fillId="14" borderId="33" xfId="0" applyFill="1" applyBorder="1"/>
    <xf numFmtId="0" fontId="0" fillId="14" borderId="34" xfId="0" applyFill="1" applyBorder="1"/>
    <xf numFmtId="0" fontId="0" fillId="14" borderId="35" xfId="0" applyFill="1" applyBorder="1"/>
    <xf numFmtId="0" fontId="11" fillId="2" borderId="36" xfId="0" applyFont="1" applyFill="1" applyBorder="1" applyAlignment="1">
      <alignment horizontal="center" vertical="center" readingOrder="2"/>
    </xf>
    <xf numFmtId="0" fontId="25" fillId="15" borderId="36" xfId="0" applyFont="1" applyFill="1" applyBorder="1" applyAlignment="1">
      <alignment horizontal="center" vertical="center" readingOrder="2"/>
    </xf>
    <xf numFmtId="0" fontId="25" fillId="7" borderId="36" xfId="0" applyFont="1" applyFill="1" applyBorder="1" applyAlignment="1">
      <alignment horizontal="center" vertical="center" readingOrder="2"/>
    </xf>
    <xf numFmtId="0" fontId="11" fillId="10" borderId="36" xfId="0" applyFont="1" applyFill="1" applyBorder="1" applyAlignment="1">
      <alignment horizontal="center" vertical="center" readingOrder="2"/>
    </xf>
    <xf numFmtId="0" fontId="11" fillId="9" borderId="36" xfId="0" applyFont="1" applyFill="1" applyBorder="1" applyAlignment="1">
      <alignment horizontal="center" vertical="center" readingOrder="2"/>
    </xf>
    <xf numFmtId="0" fontId="11" fillId="4" borderId="36" xfId="0" applyFont="1" applyFill="1" applyBorder="1" applyAlignment="1">
      <alignment horizontal="center" vertical="center" readingOrder="2"/>
    </xf>
    <xf numFmtId="0" fontId="11" fillId="2" borderId="0" xfId="0" applyFont="1" applyFill="1" applyAlignment="1">
      <alignment horizontal="center" vertical="center" readingOrder="2"/>
    </xf>
    <xf numFmtId="164" fontId="30" fillId="15" borderId="0" xfId="0" applyNumberFormat="1" applyFont="1" applyFill="1" applyAlignment="1">
      <alignment horizontal="center" vertical="center" readingOrder="2"/>
    </xf>
    <xf numFmtId="0" fontId="30" fillId="15" borderId="0" xfId="0" applyFont="1" applyFill="1" applyAlignment="1">
      <alignment horizontal="center" vertical="center" readingOrder="2"/>
    </xf>
    <xf numFmtId="164" fontId="30" fillId="7" borderId="0" xfId="0" applyNumberFormat="1" applyFont="1" applyFill="1" applyAlignment="1">
      <alignment horizontal="center" vertical="center" readingOrder="2"/>
    </xf>
    <xf numFmtId="0" fontId="30" fillId="7" borderId="0" xfId="0" applyFont="1" applyFill="1" applyAlignment="1">
      <alignment horizontal="center" vertical="center" readingOrder="2"/>
    </xf>
    <xf numFmtId="0" fontId="31" fillId="16" borderId="37" xfId="0" applyFont="1" applyFill="1" applyBorder="1" applyAlignment="1">
      <alignment horizontal="center" vertical="center"/>
    </xf>
    <xf numFmtId="0" fontId="32" fillId="16" borderId="0" xfId="0" applyFont="1" applyFill="1" applyAlignment="1">
      <alignment horizontal="right" vertical="center" readingOrder="2"/>
    </xf>
    <xf numFmtId="0" fontId="33" fillId="16" borderId="37" xfId="0" applyFont="1" applyFill="1" applyBorder="1"/>
    <xf numFmtId="0" fontId="34" fillId="16" borderId="0" xfId="0" applyFont="1" applyFill="1" applyAlignment="1">
      <alignment horizontal="right" readingOrder="2"/>
    </xf>
    <xf numFmtId="0" fontId="31" fillId="17" borderId="38" xfId="0" applyFont="1" applyFill="1" applyBorder="1" applyAlignment="1">
      <alignment horizontal="center" vertical="center"/>
    </xf>
    <xf numFmtId="0" fontId="35" fillId="17" borderId="0" xfId="0" applyFont="1" applyFill="1" applyAlignment="1">
      <alignment horizontal="right" vertical="center" readingOrder="2"/>
    </xf>
    <xf numFmtId="0" fontId="33" fillId="17" borderId="38" xfId="0" applyFont="1" applyFill="1" applyBorder="1"/>
    <xf numFmtId="0" fontId="34" fillId="17" borderId="0" xfId="0" applyFont="1" applyFill="1" applyAlignment="1">
      <alignment horizontal="right" readingOrder="2"/>
    </xf>
    <xf numFmtId="0" fontId="31" fillId="16" borderId="39" xfId="0" applyFont="1" applyFill="1" applyBorder="1" applyAlignment="1">
      <alignment horizontal="center" vertical="center"/>
    </xf>
    <xf numFmtId="0" fontId="33" fillId="16" borderId="39" xfId="0" applyFont="1" applyFill="1" applyBorder="1"/>
    <xf numFmtId="0" fontId="31" fillId="16" borderId="40" xfId="0" applyFont="1" applyFill="1" applyBorder="1" applyAlignment="1">
      <alignment horizontal="center" vertical="center"/>
    </xf>
    <xf numFmtId="0" fontId="33" fillId="16" borderId="40" xfId="0" applyFont="1" applyFill="1" applyBorder="1"/>
    <xf numFmtId="0" fontId="31" fillId="16" borderId="41" xfId="0" applyFont="1" applyFill="1" applyBorder="1" applyAlignment="1">
      <alignment horizontal="center" vertical="center"/>
    </xf>
    <xf numFmtId="0" fontId="33" fillId="16" borderId="41" xfId="0" applyFont="1" applyFill="1" applyBorder="1"/>
    <xf numFmtId="0" fontId="31" fillId="16" borderId="42" xfId="0" applyFont="1" applyFill="1" applyBorder="1" applyAlignment="1">
      <alignment horizontal="center" vertical="center"/>
    </xf>
    <xf numFmtId="0" fontId="33" fillId="16" borderId="42" xfId="0" applyFont="1" applyFill="1" applyBorder="1"/>
    <xf numFmtId="0" fontId="31" fillId="16" borderId="43" xfId="0" applyFont="1" applyFill="1" applyBorder="1" applyAlignment="1">
      <alignment horizontal="center" vertical="center"/>
    </xf>
    <xf numFmtId="0" fontId="33" fillId="16" borderId="43" xfId="0" applyFont="1" applyFill="1" applyBorder="1"/>
    <xf numFmtId="0" fontId="31" fillId="16" borderId="44" xfId="0" applyFont="1" applyFill="1" applyBorder="1" applyAlignment="1">
      <alignment horizontal="center" vertical="center"/>
    </xf>
    <xf numFmtId="0" fontId="33" fillId="16" borderId="44" xfId="0" applyFont="1" applyFill="1" applyBorder="1"/>
    <xf numFmtId="0" fontId="6" fillId="7" borderId="2" xfId="0" applyFont="1" applyFill="1" applyBorder="1" applyAlignment="1">
      <alignment horizontal="center" vertical="center" readingOrder="1"/>
    </xf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4" fillId="2" borderId="0" xfId="0" applyFont="1" applyFill="1" applyAlignment="1">
      <alignment horizontal="center" vertical="center" wrapText="1" readingOrder="2"/>
    </xf>
    <xf numFmtId="0" fontId="16" fillId="6" borderId="0" xfId="0" applyFont="1" applyFill="1" applyAlignment="1">
      <alignment horizontal="right" vertical="center" readingOrder="2"/>
    </xf>
    <xf numFmtId="0" fontId="2" fillId="2" borderId="0" xfId="0" applyFont="1" applyFill="1" applyAlignment="1">
      <alignment horizontal="right" vertical="center" readingOrder="2"/>
    </xf>
    <xf numFmtId="0" fontId="5" fillId="5" borderId="0" xfId="0" applyFont="1" applyFill="1" applyAlignment="1">
      <alignment horizontal="right" vertical="center" readingOrder="2"/>
    </xf>
    <xf numFmtId="0" fontId="12" fillId="7" borderId="3" xfId="0" applyFont="1" applyFill="1" applyBorder="1" applyAlignment="1">
      <alignment horizontal="right" vertical="center" readingOrder="2"/>
    </xf>
    <xf numFmtId="0" fontId="0" fillId="0" borderId="2" xfId="0" applyBorder="1"/>
    <xf numFmtId="0" fontId="0" fillId="0" borderId="3" xfId="0" applyBorder="1"/>
    <xf numFmtId="0" fontId="16" fillId="9" borderId="0" xfId="0" applyFont="1" applyFill="1" applyAlignment="1">
      <alignment horizontal="right" vertical="center" readingOrder="2"/>
    </xf>
    <xf numFmtId="0" fontId="13" fillId="7" borderId="3" xfId="0" applyFont="1" applyFill="1" applyBorder="1" applyAlignment="1">
      <alignment horizontal="right" vertical="center" readingOrder="2"/>
    </xf>
    <xf numFmtId="0" fontId="8" fillId="7" borderId="3" xfId="0" applyFont="1" applyFill="1" applyBorder="1" applyAlignment="1">
      <alignment horizontal="right" vertical="center" readingOrder="2"/>
    </xf>
    <xf numFmtId="0" fontId="10" fillId="7" borderId="7" xfId="0" applyFont="1" applyFill="1" applyBorder="1" applyAlignment="1">
      <alignment horizontal="right" vertical="center" readingOrder="2"/>
    </xf>
    <xf numFmtId="0" fontId="0" fillId="0" borderId="7" xfId="0" applyBorder="1"/>
    <xf numFmtId="0" fontId="3" fillId="3" borderId="0" xfId="0" applyFont="1" applyFill="1" applyAlignment="1">
      <alignment horizontal="center" vertical="center" readingOrder="2"/>
    </xf>
    <xf numFmtId="0" fontId="7" fillId="7" borderId="3" xfId="0" applyFont="1" applyFill="1" applyBorder="1" applyAlignment="1">
      <alignment horizontal="right" vertical="center" readingOrder="2"/>
    </xf>
    <xf numFmtId="0" fontId="15" fillId="7" borderId="3" xfId="0" applyFont="1" applyFill="1" applyBorder="1" applyAlignment="1">
      <alignment horizontal="right" vertical="center" readingOrder="2"/>
    </xf>
    <xf numFmtId="0" fontId="16" fillId="2" borderId="0" xfId="0" applyFont="1" applyFill="1" applyAlignment="1">
      <alignment horizontal="right" vertical="center" readingOrder="2"/>
    </xf>
    <xf numFmtId="0" fontId="14" fillId="7" borderId="3" xfId="0" applyFont="1" applyFill="1" applyBorder="1" applyAlignment="1">
      <alignment horizontal="right" vertical="center" readingOrder="2"/>
    </xf>
    <xf numFmtId="0" fontId="16" fillId="3" borderId="0" xfId="0" applyFont="1" applyFill="1" applyAlignment="1">
      <alignment horizontal="right" vertical="center" readingOrder="2"/>
    </xf>
    <xf numFmtId="0" fontId="9" fillId="7" borderId="3" xfId="0" applyFont="1" applyFill="1" applyBorder="1" applyAlignment="1">
      <alignment horizontal="right" vertical="center" readingOrder="2"/>
    </xf>
    <xf numFmtId="0" fontId="16" fillId="4" borderId="0" xfId="0" applyFont="1" applyFill="1" applyAlignment="1">
      <alignment horizontal="right" vertical="center" readingOrder="2"/>
    </xf>
    <xf numFmtId="0" fontId="16" fillId="8" borderId="0" xfId="0" applyFont="1" applyFill="1" applyAlignment="1">
      <alignment horizontal="right" vertical="center" readingOrder="2"/>
    </xf>
    <xf numFmtId="0" fontId="19" fillId="5" borderId="0" xfId="0" applyFont="1" applyFill="1" applyAlignment="1">
      <alignment horizontal="right" vertical="center" readingOrder="2"/>
    </xf>
    <xf numFmtId="0" fontId="20" fillId="7" borderId="3" xfId="0" applyFont="1" applyFill="1" applyBorder="1" applyAlignment="1">
      <alignment horizontal="right" vertical="center" readingOrder="2"/>
    </xf>
    <xf numFmtId="0" fontId="21" fillId="7" borderId="3" xfId="0" applyFont="1" applyFill="1" applyBorder="1" applyAlignment="1">
      <alignment horizontal="right" vertical="center" readingOrder="2"/>
    </xf>
    <xf numFmtId="0" fontId="22" fillId="5" borderId="0" xfId="0" applyFont="1" applyFill="1" applyAlignment="1">
      <alignment horizontal="right" vertical="center" readingOrder="2"/>
    </xf>
    <xf numFmtId="0" fontId="23" fillId="5" borderId="0" xfId="0" applyFont="1" applyFill="1" applyAlignment="1">
      <alignment horizontal="right" vertical="center" readingOrder="2"/>
    </xf>
    <xf numFmtId="0" fontId="16" fillId="14" borderId="0" xfId="0" applyFont="1" applyFill="1" applyAlignment="1">
      <alignment horizontal="right" vertical="center" readingOrder="2"/>
    </xf>
    <xf numFmtId="0" fontId="24" fillId="7" borderId="3" xfId="0" applyFont="1" applyFill="1" applyBorder="1" applyAlignment="1">
      <alignment horizontal="right" vertical="center" readingOrder="2"/>
    </xf>
    <xf numFmtId="0" fontId="26" fillId="5" borderId="0" xfId="0" applyFont="1" applyFill="1" applyAlignment="1">
      <alignment horizontal="right" vertical="center" readingOrder="2"/>
    </xf>
    <xf numFmtId="0" fontId="27" fillId="5" borderId="0" xfId="0" applyFont="1" applyFill="1" applyAlignment="1">
      <alignment horizontal="right" vertical="center" readingOrder="2"/>
    </xf>
    <xf numFmtId="0" fontId="28" fillId="5" borderId="0" xfId="0" applyFont="1" applyFill="1" applyAlignment="1">
      <alignment horizontal="right" vertical="center" readingOrder="2"/>
    </xf>
    <xf numFmtId="0" fontId="29" fillId="5" borderId="0" xfId="0" applyFont="1" applyFill="1" applyAlignment="1">
      <alignment horizontal="right" vertical="center" readingOrder="2"/>
    </xf>
    <xf numFmtId="0" fontId="16" fillId="10" borderId="0" xfId="0" applyFont="1" applyFill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D9D9D9"/>
      <rgbColor rgb="FF878787"/>
      <rgbColor rgb="FF9999FF"/>
      <rgbColor rgb="FFC0504D"/>
      <rgbColor rgb="FFF9F9F9"/>
      <rgbColor rgb="FFF0F4F8"/>
      <rgbColor rgb="FF660066"/>
      <rgbColor rgb="FFFF8080"/>
      <rgbColor rgb="FF0066CC"/>
      <rgbColor rgb="FFC0D0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59E0B"/>
      <rgbColor rgb="FFEA580C"/>
      <rgbColor rgb="FF8064A2"/>
      <rgbColor rgb="FF4F81BD"/>
      <rgbColor rgb="FF123B6D"/>
      <rgbColor rgb="FF16A34A"/>
      <rgbColor rgb="FF0A2342"/>
      <rgbColor rgb="FF475569"/>
      <rgbColor rgb="FF991B1B"/>
      <rgbColor rgb="FF7C3AED"/>
      <rgbColor rgb="FF4338CA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Dashboard!$B$100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rgbClr val="4F81BD"/>
            </a:solidFill>
            <a:ln w="20000">
              <a:solidFill>
                <a:srgbClr val="FFFFFF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1E3A8A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9A1-4578-8194-EFDFD89C178B}"/>
              </c:ext>
            </c:extLst>
          </c:dPt>
          <c:dPt>
            <c:idx val="1"/>
            <c:bubble3D val="0"/>
            <c:spPr>
              <a:solidFill>
                <a:srgbClr val="0D9488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9A1-4578-8194-EFDFD89C178B}"/>
              </c:ext>
            </c:extLst>
          </c:dPt>
          <c:dPt>
            <c:idx val="2"/>
            <c:bubble3D val="0"/>
            <c:spPr>
              <a:solidFill>
                <a:srgbClr val="DC2626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9A1-4578-8194-EFDFD89C178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C9A1-4578-8194-EFDFD89C178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C9A1-4578-8194-EFDFD89C178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C9A1-4578-8194-EFDFD89C17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Dashboard!$A$101:$A$103</c:f>
              <c:strCache>
                <c:ptCount val="3"/>
                <c:pt idx="0">
                  <c:v>أمن وسلامة</c:v>
                </c:pt>
                <c:pt idx="1">
                  <c:v>جنائي</c:v>
                </c:pt>
                <c:pt idx="2">
                  <c:v>مروري</c:v>
                </c:pt>
              </c:strCache>
            </c:strRef>
          </c:cat>
          <c:val>
            <c:numRef>
              <c:f>Dashboard!$B$101:$B$103</c:f>
              <c:numCache>
                <c:formatCode>General</c:formatCode>
                <c:ptCount val="3"/>
                <c:pt idx="0">
                  <c:v>18</c:v>
                </c:pt>
                <c:pt idx="1">
                  <c:v>7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A1-4578-8194-EFDFD89C1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Dashboard!$B$110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rgbClr val="1E3A8A"/>
            </a:solidFill>
            <a:ln w="0">
              <a:solidFill>
                <a:srgbClr val="1E3A8A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Dashboard!$A$111:$A$116</c:f>
              <c:strCache>
                <c:ptCount val="6"/>
                <c:pt idx="0">
                  <c:v>الدفاع المدني</c:v>
                </c:pt>
                <c:pt idx="1">
                  <c:v>كهرماء</c:v>
                </c:pt>
                <c:pt idx="2">
                  <c:v>بلدية الوكرة</c:v>
                </c:pt>
                <c:pt idx="3">
                  <c:v>وزارة الداخلية</c:v>
                </c:pt>
                <c:pt idx="4">
                  <c:v>إدارة المرور</c:v>
                </c:pt>
                <c:pt idx="5">
                  <c:v>البلدية</c:v>
                </c:pt>
              </c:strCache>
            </c:strRef>
          </c:cat>
          <c:val>
            <c:numRef>
              <c:f>Dashboard!$B$111:$B$116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A-4500-B5BE-E03699DB1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810477"/>
        <c:axId val="88741251"/>
      </c:barChart>
      <c:catAx>
        <c:axId val="1081047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741251"/>
        <c:crosses val="autoZero"/>
        <c:auto val="1"/>
        <c:lblAlgn val="ctr"/>
        <c:lblOffset val="100"/>
        <c:noMultiLvlLbl val="0"/>
      </c:catAx>
      <c:valAx>
        <c:axId val="8874125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810477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Dashboard!$B$120</c:f>
              <c:strCache>
                <c:ptCount val="1"/>
                <c:pt idx="0">
                  <c:v>المجموع</c:v>
                </c:pt>
              </c:strCache>
            </c:strRef>
          </c:tx>
          <c:spPr>
            <a:solidFill>
              <a:srgbClr val="1E3A8A"/>
            </a:solidFill>
            <a:ln w="0">
              <a:solidFill>
                <a:srgbClr val="1E3A8A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Dashboard!$A$121:$A$124</c:f>
              <c:strCache>
                <c:ptCount val="4"/>
                <c:pt idx="0">
                  <c:v>بوابة نقل وتوزيع الغاز</c:v>
                </c:pt>
                <c:pt idx="1">
                  <c:v>دوريات أم الحول</c:v>
                </c:pt>
                <c:pt idx="2">
                  <c:v>دوريات رأس أبو فنطاس</c:v>
                </c:pt>
                <c:pt idx="3">
                  <c:v>قسم الدوريات الأمنية</c:v>
                </c:pt>
              </c:strCache>
            </c:strRef>
          </c:cat>
          <c:val>
            <c:numRef>
              <c:f>Dashboard!$B$121:$B$124</c:f>
              <c:numCache>
                <c:formatCode>General</c:formatCode>
                <c:ptCount val="4"/>
                <c:pt idx="0">
                  <c:v>126</c:v>
                </c:pt>
                <c:pt idx="1">
                  <c:v>180</c:v>
                </c:pt>
                <c:pt idx="2">
                  <c:v>219</c:v>
                </c:pt>
                <c:pt idx="3">
                  <c:v>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8-406D-94BA-8BF022293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6813261"/>
        <c:axId val="11644947"/>
      </c:barChart>
      <c:catAx>
        <c:axId val="868132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644947"/>
        <c:crosses val="autoZero"/>
        <c:auto val="1"/>
        <c:lblAlgn val="ctr"/>
        <c:lblOffset val="100"/>
        <c:noMultiLvlLbl val="0"/>
      </c:catAx>
      <c:valAx>
        <c:axId val="116449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813261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Dashboard!$B$130</c:f>
              <c:strCache>
                <c:ptCount val="1"/>
                <c:pt idx="0">
                  <c:v>الزيارات</c:v>
                </c:pt>
              </c:strCache>
            </c:strRef>
          </c:tx>
          <c:spPr>
            <a:ln w="32000">
              <a:solidFill>
                <a:srgbClr val="1E3A8A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1E3A8A"/>
              </a:solidFill>
              <a:ln w="150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Dashboard!$A$131:$A$144</c:f>
              <c:strCache>
                <c:ptCount val="14"/>
                <c:pt idx="0">
                  <c:v>2026-05-18</c:v>
                </c:pt>
                <c:pt idx="1">
                  <c:v>2026-05-19</c:v>
                </c:pt>
                <c:pt idx="2">
                  <c:v>2026-05-20</c:v>
                </c:pt>
                <c:pt idx="3">
                  <c:v>2026-05-21</c:v>
                </c:pt>
                <c:pt idx="4">
                  <c:v>2026-05-22</c:v>
                </c:pt>
                <c:pt idx="5">
                  <c:v>2026-05-23</c:v>
                </c:pt>
                <c:pt idx="6">
                  <c:v>2026-05-24</c:v>
                </c:pt>
                <c:pt idx="7">
                  <c:v>2026-05-25</c:v>
                </c:pt>
                <c:pt idx="8">
                  <c:v>2026-05-26</c:v>
                </c:pt>
                <c:pt idx="9">
                  <c:v>2026-05-27</c:v>
                </c:pt>
                <c:pt idx="10">
                  <c:v>2026-05-28</c:v>
                </c:pt>
                <c:pt idx="11">
                  <c:v>2026-05-29</c:v>
                </c:pt>
                <c:pt idx="12">
                  <c:v>2026-05-30</c:v>
                </c:pt>
                <c:pt idx="13">
                  <c:v>2026-05-31</c:v>
                </c:pt>
              </c:strCache>
            </c:strRef>
          </c:cat>
          <c:val>
            <c:numRef>
              <c:f>Dashboard!$B$131:$B$144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5A-4F58-80A0-4A68AEDF6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75109868"/>
        <c:axId val="81027954"/>
      </c:lineChart>
      <c:catAx>
        <c:axId val="751098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027954"/>
        <c:crosses val="autoZero"/>
        <c:auto val="1"/>
        <c:lblAlgn val="ctr"/>
        <c:lblOffset val="100"/>
        <c:noMultiLvlLbl val="0"/>
      </c:catAx>
      <c:valAx>
        <c:axId val="810279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10986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Dashboard!$B$150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rgbClr val="4F81BD"/>
            </a:solidFill>
            <a:ln w="20000">
              <a:solidFill>
                <a:srgbClr val="FFFFFF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1E3A8A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42E-4059-A28C-1F94EC94222D}"/>
              </c:ext>
            </c:extLst>
          </c:dPt>
          <c:dPt>
            <c:idx val="1"/>
            <c:bubble3D val="0"/>
            <c:spPr>
              <a:solidFill>
                <a:srgbClr val="0D9488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42E-4059-A28C-1F94EC94222D}"/>
              </c:ext>
            </c:extLst>
          </c:dPt>
          <c:dPt>
            <c:idx val="2"/>
            <c:bubble3D val="0"/>
            <c:spPr>
              <a:solidFill>
                <a:srgbClr val="DC2626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42E-4059-A28C-1F94EC94222D}"/>
              </c:ext>
            </c:extLst>
          </c:dPt>
          <c:dPt>
            <c:idx val="3"/>
            <c:bubble3D val="0"/>
            <c:spPr>
              <a:solidFill>
                <a:srgbClr val="D97706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42E-4059-A28C-1F94EC94222D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42E-4059-A28C-1F94EC94222D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42E-4059-A28C-1F94EC94222D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42E-4059-A28C-1F94EC94222D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C42E-4059-A28C-1F94EC9422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Dashboard!$A$151:$A$154</c:f>
              <c:strCache>
                <c:ptCount val="4"/>
                <c:pt idx="0">
                  <c:v>إخلاء وهمي</c:v>
                </c:pt>
                <c:pt idx="1">
                  <c:v>حريق</c:v>
                </c:pt>
                <c:pt idx="2">
                  <c:v>تسرب مواد خطرة</c:v>
                </c:pt>
                <c:pt idx="3">
                  <c:v>إسعافات أولية</c:v>
                </c:pt>
              </c:strCache>
            </c:strRef>
          </c:cat>
          <c:val>
            <c:numRef>
              <c:f>Dashboard!$B$151:$B$154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2E-4059-A28C-1F94EC942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Dashboard!$B$160</c:f>
              <c:strCache>
                <c:ptCount val="1"/>
                <c:pt idx="0">
                  <c:v>المنتسبون</c:v>
                </c:pt>
              </c:strCache>
            </c:strRef>
          </c:tx>
          <c:spPr>
            <a:solidFill>
              <a:srgbClr val="1E3A8A"/>
            </a:solidFill>
            <a:ln w="0">
              <a:solidFill>
                <a:srgbClr val="1E3A8A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Dashboard!$A$161:$A$163</c:f>
              <c:strCache>
                <c:ptCount val="3"/>
                <c:pt idx="0">
                  <c:v>دورة أدارة الازمات والكوارث </c:v>
                </c:pt>
                <c:pt idx="1">
                  <c:v>دورة الاستجابة السريعة</c:v>
                </c:pt>
                <c:pt idx="2">
                  <c:v>دورة حماية المنشآت الصناعية (المستوى 4)</c:v>
                </c:pt>
              </c:strCache>
            </c:strRef>
          </c:cat>
          <c:val>
            <c:numRef>
              <c:f>Dashboard!$B$161:$B$163</c:f>
              <c:numCache>
                <c:formatCode>General</c:formatCode>
                <c:ptCount val="3"/>
                <c:pt idx="0">
                  <c:v>231</c:v>
                </c:pt>
                <c:pt idx="1">
                  <c:v>183</c:v>
                </c:pt>
                <c:pt idx="2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A-4DA2-B3E9-62D66ADE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64169808"/>
        <c:axId val="651339"/>
      </c:barChart>
      <c:catAx>
        <c:axId val="6416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1339"/>
        <c:crosses val="autoZero"/>
        <c:auto val="1"/>
        <c:lblAlgn val="ctr"/>
        <c:lblOffset val="100"/>
        <c:noMultiLvlLbl val="0"/>
      </c:catAx>
      <c:valAx>
        <c:axId val="6513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16980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البلاغات_DB!$B$100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rgbClr val="4F81BD"/>
            </a:solidFill>
            <a:ln w="20000">
              <a:solidFill>
                <a:srgbClr val="FFFFFF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1E3A8A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B1-4829-B3CC-A0E48AB0A890}"/>
              </c:ext>
            </c:extLst>
          </c:dPt>
          <c:dPt>
            <c:idx val="1"/>
            <c:bubble3D val="0"/>
            <c:spPr>
              <a:solidFill>
                <a:srgbClr val="0D9488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8B1-4829-B3CC-A0E48AB0A890}"/>
              </c:ext>
            </c:extLst>
          </c:dPt>
          <c:dPt>
            <c:idx val="2"/>
            <c:bubble3D val="0"/>
            <c:spPr>
              <a:solidFill>
                <a:srgbClr val="DC2626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8B1-4829-B3CC-A0E48AB0A89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8B1-4829-B3CC-A0E48AB0A89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E8B1-4829-B3CC-A0E48AB0A89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E8B1-4829-B3CC-A0E48AB0A8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البلاغات_DB!$A$101:$A$103</c:f>
              <c:strCache>
                <c:ptCount val="3"/>
                <c:pt idx="0">
                  <c:v>أمن وسلامة</c:v>
                </c:pt>
                <c:pt idx="1">
                  <c:v>جنائي</c:v>
                </c:pt>
                <c:pt idx="2">
                  <c:v>مروري</c:v>
                </c:pt>
              </c:strCache>
            </c:strRef>
          </c:cat>
          <c:val>
            <c:numRef>
              <c:f>البلاغات_DB!$B$101:$B$103</c:f>
              <c:numCache>
                <c:formatCode>General</c:formatCode>
                <c:ptCount val="3"/>
                <c:pt idx="0">
                  <c:v>18</c:v>
                </c:pt>
                <c:pt idx="1">
                  <c:v>7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B1-4829-B3CC-A0E48AB0A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البلاغات_DB!$B$120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rgbClr val="1E3A8A"/>
            </a:solidFill>
            <a:ln w="0">
              <a:solidFill>
                <a:srgbClr val="1E3A8A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البلاغات_DB!$A$121:$A$123</c:f>
              <c:strCache>
                <c:ptCount val="3"/>
                <c:pt idx="0">
                  <c:v>أم الحول</c:v>
                </c:pt>
                <c:pt idx="1">
                  <c:v>رأس أبو فنطاس</c:v>
                </c:pt>
                <c:pt idx="2">
                  <c:v>الدوريات</c:v>
                </c:pt>
              </c:strCache>
            </c:strRef>
          </c:cat>
          <c:val>
            <c:numRef>
              <c:f>البلاغات_DB!$B$121:$B$123</c:f>
              <c:numCache>
                <c:formatCode>General</c:formatCode>
                <c:ptCount val="3"/>
                <c:pt idx="0">
                  <c:v>13</c:v>
                </c:pt>
                <c:pt idx="1">
                  <c:v>9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3-4536-B454-28814E8D4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97903893"/>
        <c:axId val="80953967"/>
      </c:barChart>
      <c:catAx>
        <c:axId val="9790389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953967"/>
        <c:crosses val="autoZero"/>
        <c:auto val="1"/>
        <c:lblAlgn val="ctr"/>
        <c:lblOffset val="100"/>
        <c:noMultiLvlLbl val="0"/>
      </c:catAx>
      <c:valAx>
        <c:axId val="8095396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903893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البلاغات_DB!$B$140</c:f>
              <c:strCache>
                <c:ptCount val="1"/>
                <c:pt idx="0">
                  <c:v>العدد</c:v>
                </c:pt>
              </c:strCache>
            </c:strRef>
          </c:tx>
          <c:spPr>
            <a:ln w="32000">
              <a:solidFill>
                <a:srgbClr val="1E3A8A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1E3A8A"/>
              </a:solidFill>
              <a:ln w="150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البلاغات_DB!$A$141:$A$145</c:f>
              <c:strCache>
                <c:ptCount val="5"/>
                <c:pt idx="0">
                  <c:v>الأسبوع الأول</c:v>
                </c:pt>
                <c:pt idx="1">
                  <c:v>الأسبوع الثالث</c:v>
                </c:pt>
                <c:pt idx="2">
                  <c:v>الأسبوع الثاني</c:v>
                </c:pt>
                <c:pt idx="3">
                  <c:v>الأسبوع الخامس</c:v>
                </c:pt>
                <c:pt idx="4">
                  <c:v>الأسبوع الرابع</c:v>
                </c:pt>
              </c:strCache>
            </c:strRef>
          </c:cat>
          <c:val>
            <c:numRef>
              <c:f>البلاغات_DB!$B$141:$B$145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3</c:v>
                </c:pt>
                <c:pt idx="4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7D-4DF8-B8B3-AEB457A41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83026904"/>
        <c:axId val="73124726"/>
      </c:lineChart>
      <c:catAx>
        <c:axId val="83026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124726"/>
        <c:crosses val="autoZero"/>
        <c:auto val="1"/>
        <c:lblAlgn val="ctr"/>
        <c:lblOffset val="100"/>
        <c:noMultiLvlLbl val="0"/>
      </c:catAx>
      <c:valAx>
        <c:axId val="731247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026904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الإحالات_DB!$B$100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rgbClr val="7C3AED"/>
            </a:solidFill>
            <a:ln w="0">
              <a:solidFill>
                <a:srgbClr val="7C3AED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الإحالات_DB!$A$101:$A$108</c:f>
              <c:strCache>
                <c:ptCount val="8"/>
                <c:pt idx="0">
                  <c:v>الدفاع المدني</c:v>
                </c:pt>
                <c:pt idx="1">
                  <c:v>كهرماء</c:v>
                </c:pt>
                <c:pt idx="2">
                  <c:v>بلدية الوكرة</c:v>
                </c:pt>
                <c:pt idx="3">
                  <c:v>وزارة الداخلية</c:v>
                </c:pt>
                <c:pt idx="4">
                  <c:v>إدارة المرور</c:v>
                </c:pt>
                <c:pt idx="5">
                  <c:v>البلدية</c:v>
                </c:pt>
                <c:pt idx="6">
                  <c:v>شرطة الوكرة</c:v>
                </c:pt>
                <c:pt idx="7">
                  <c:v>إدارة الدوريات</c:v>
                </c:pt>
              </c:strCache>
            </c:strRef>
          </c:cat>
          <c:val>
            <c:numRef>
              <c:f>الإحالات_DB!$B$101:$B$108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0-4130-BBCB-0F376970C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60930066"/>
        <c:axId val="46168861"/>
      </c:barChart>
      <c:catAx>
        <c:axId val="609300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168861"/>
        <c:crosses val="autoZero"/>
        <c:auto val="1"/>
        <c:lblAlgn val="ctr"/>
        <c:lblOffset val="100"/>
        <c:noMultiLvlLbl val="0"/>
      </c:catAx>
      <c:valAx>
        <c:axId val="461688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930066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الإحالات_DB!$B$120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rgbClr val="4F81BD"/>
            </a:solidFill>
            <a:ln w="20000">
              <a:solidFill>
                <a:srgbClr val="FFFFFF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1E3A8A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949-481B-84AF-6E818AD598DC}"/>
              </c:ext>
            </c:extLst>
          </c:dPt>
          <c:dPt>
            <c:idx val="1"/>
            <c:bubble3D val="0"/>
            <c:spPr>
              <a:solidFill>
                <a:srgbClr val="0D9488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949-481B-84AF-6E818AD598DC}"/>
              </c:ext>
            </c:extLst>
          </c:dPt>
          <c:dPt>
            <c:idx val="2"/>
            <c:bubble3D val="0"/>
            <c:spPr>
              <a:solidFill>
                <a:srgbClr val="DC2626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949-481B-84AF-6E818AD598DC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949-481B-84AF-6E818AD598DC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949-481B-84AF-6E818AD598DC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949-481B-84AF-6E818AD598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الإحالات_DB!$A$121:$A$123</c:f>
              <c:strCache>
                <c:ptCount val="3"/>
                <c:pt idx="0">
                  <c:v>الدوريات</c:v>
                </c:pt>
                <c:pt idx="1">
                  <c:v>أم الحول</c:v>
                </c:pt>
                <c:pt idx="2">
                  <c:v>رأس أبو فنطاس</c:v>
                </c:pt>
              </c:strCache>
            </c:strRef>
          </c:cat>
          <c:val>
            <c:numRef>
              <c:f>الإحالات_DB!$B$121:$B$123</c:f>
              <c:numCache>
                <c:formatCode>General</c:formatCode>
                <c:ptCount val="3"/>
                <c:pt idx="0">
                  <c:v>11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49-481B-84AF-6E818AD59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الدوريات_DB!$B$100</c:f>
              <c:strCache>
                <c:ptCount val="1"/>
                <c:pt idx="0">
                  <c:v>المجموع</c:v>
                </c:pt>
              </c:strCache>
            </c:strRef>
          </c:tx>
          <c:spPr>
            <a:solidFill>
              <a:srgbClr val="0D9488"/>
            </a:solidFill>
            <a:ln w="0">
              <a:solidFill>
                <a:srgbClr val="0D9488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الدوريات_DB!$A$101:$A$104</c:f>
              <c:strCache>
                <c:ptCount val="4"/>
                <c:pt idx="0">
                  <c:v>بوابة نقل وتوزيع الغاز</c:v>
                </c:pt>
                <c:pt idx="1">
                  <c:v>دوريات أم الحول</c:v>
                </c:pt>
                <c:pt idx="2">
                  <c:v>دوريات رأس أبو فنطاس</c:v>
                </c:pt>
                <c:pt idx="3">
                  <c:v>قسم الدوريات الأمنية</c:v>
                </c:pt>
              </c:strCache>
            </c:strRef>
          </c:cat>
          <c:val>
            <c:numRef>
              <c:f>الدوريات_DB!$B$101:$B$104</c:f>
              <c:numCache>
                <c:formatCode>General</c:formatCode>
                <c:ptCount val="4"/>
                <c:pt idx="0">
                  <c:v>126</c:v>
                </c:pt>
                <c:pt idx="1">
                  <c:v>180</c:v>
                </c:pt>
                <c:pt idx="2">
                  <c:v>219</c:v>
                </c:pt>
                <c:pt idx="3">
                  <c:v>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D-4631-8E69-23455F62F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7821060"/>
        <c:axId val="35381469"/>
      </c:barChart>
      <c:catAx>
        <c:axId val="178210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381469"/>
        <c:crosses val="autoZero"/>
        <c:auto val="1"/>
        <c:lblAlgn val="ctr"/>
        <c:lblOffset val="100"/>
        <c:noMultiLvlLbl val="0"/>
      </c:catAx>
      <c:valAx>
        <c:axId val="3538146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82106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الدوريات_DB!$B$120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rgbClr val="4F81BD"/>
            </a:solidFill>
            <a:ln w="20000">
              <a:solidFill>
                <a:srgbClr val="FFFFFF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1E3A8A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546-46FC-A82D-D7706EDA9A87}"/>
              </c:ext>
            </c:extLst>
          </c:dPt>
          <c:dPt>
            <c:idx val="1"/>
            <c:bubble3D val="0"/>
            <c:spPr>
              <a:solidFill>
                <a:srgbClr val="0D9488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546-46FC-A82D-D7706EDA9A87}"/>
              </c:ext>
            </c:extLst>
          </c:dPt>
          <c:dPt>
            <c:idx val="2"/>
            <c:bubble3D val="0"/>
            <c:spPr>
              <a:solidFill>
                <a:srgbClr val="DC2626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546-46FC-A82D-D7706EDA9A8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9546-46FC-A82D-D7706EDA9A8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9546-46FC-A82D-D7706EDA9A8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9546-46FC-A82D-D7706EDA9A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الدوريات_DB!$A$121:$A$123</c:f>
              <c:strCache>
                <c:ptCount val="3"/>
                <c:pt idx="0">
                  <c:v>صباح</c:v>
                </c:pt>
                <c:pt idx="1">
                  <c:v>عصر</c:v>
                </c:pt>
                <c:pt idx="2">
                  <c:v>ليل</c:v>
                </c:pt>
              </c:strCache>
            </c:strRef>
          </c:cat>
          <c:val>
            <c:numRef>
              <c:f>الدوريات_DB!$B$121:$B$123</c:f>
              <c:numCache>
                <c:formatCode>General</c:formatCode>
                <c:ptCount val="3"/>
                <c:pt idx="0">
                  <c:v>336</c:v>
                </c:pt>
                <c:pt idx="1">
                  <c:v>271</c:v>
                </c:pt>
                <c:pt idx="2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46-46FC-A82D-D7706EDA9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الدورات_DB!$B$100</c:f>
              <c:strCache>
                <c:ptCount val="1"/>
                <c:pt idx="0">
                  <c:v>المنتسبون</c:v>
                </c:pt>
              </c:strCache>
            </c:strRef>
          </c:tx>
          <c:spPr>
            <a:solidFill>
              <a:srgbClr val="DC2626"/>
            </a:solidFill>
            <a:ln w="0">
              <a:solidFill>
                <a:srgbClr val="DC2626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الدورات_DB!$A$101:$A$103</c:f>
              <c:strCache>
                <c:ptCount val="3"/>
                <c:pt idx="0">
                  <c:v>دورة أدارة الازمات والكوارث </c:v>
                </c:pt>
                <c:pt idx="1">
                  <c:v>دورة الاستجابة السريعة</c:v>
                </c:pt>
                <c:pt idx="2">
                  <c:v>دورة حماية المنشآت الصناعية (المستوى 4)</c:v>
                </c:pt>
              </c:strCache>
            </c:strRef>
          </c:cat>
          <c:val>
            <c:numRef>
              <c:f>الدورات_DB!$B$101:$B$103</c:f>
              <c:numCache>
                <c:formatCode>General</c:formatCode>
                <c:ptCount val="3"/>
                <c:pt idx="0">
                  <c:v>231</c:v>
                </c:pt>
                <c:pt idx="1">
                  <c:v>183</c:v>
                </c:pt>
                <c:pt idx="2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3-497E-B94A-BFBF2DBE8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2355961"/>
        <c:axId val="53689936"/>
      </c:barChart>
      <c:catAx>
        <c:axId val="23559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689936"/>
        <c:crosses val="autoZero"/>
        <c:auto val="1"/>
        <c:lblAlgn val="ctr"/>
        <c:lblOffset val="100"/>
        <c:noMultiLvlLbl val="0"/>
      </c:catAx>
      <c:valAx>
        <c:axId val="53689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55961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الدورات_DB!$B$120</c:f>
              <c:strCache>
                <c:ptCount val="1"/>
                <c:pt idx="0">
                  <c:v>المنتسبون</c:v>
                </c:pt>
              </c:strCache>
            </c:strRef>
          </c:tx>
          <c:spPr>
            <a:ln w="32000">
              <a:solidFill>
                <a:srgbClr val="DC2626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DC2626"/>
              </a:solidFill>
              <a:ln w="150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الدورات_DB!$A$121:$A$125</c:f>
              <c:strCache>
                <c:ptCount val="5"/>
                <c:pt idx="0">
                  <c:v>الأسبوع الأول</c:v>
                </c:pt>
                <c:pt idx="1">
                  <c:v>الأسبوع الثالث</c:v>
                </c:pt>
                <c:pt idx="2">
                  <c:v>الأسبوع الثاني</c:v>
                </c:pt>
                <c:pt idx="3">
                  <c:v>الأسبوع الخامس</c:v>
                </c:pt>
                <c:pt idx="4">
                  <c:v>الأسبوع الرابع</c:v>
                </c:pt>
              </c:strCache>
            </c:strRef>
          </c:cat>
          <c:val>
            <c:numRef>
              <c:f>الدورات_DB!$B$121:$B$125</c:f>
              <c:numCache>
                <c:formatCode>General</c:formatCode>
                <c:ptCount val="5"/>
                <c:pt idx="0">
                  <c:v>132</c:v>
                </c:pt>
                <c:pt idx="1">
                  <c:v>135</c:v>
                </c:pt>
                <c:pt idx="2">
                  <c:v>138</c:v>
                </c:pt>
                <c:pt idx="3">
                  <c:v>55</c:v>
                </c:pt>
                <c:pt idx="4">
                  <c:v>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4BD-43C3-9562-0D067A4FF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38669993"/>
        <c:axId val="2715040"/>
      </c:lineChart>
      <c:catAx>
        <c:axId val="386699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15040"/>
        <c:crosses val="autoZero"/>
        <c:auto val="1"/>
        <c:lblAlgn val="ctr"/>
        <c:lblOffset val="100"/>
        <c:noMultiLvlLbl val="0"/>
      </c:catAx>
      <c:valAx>
        <c:axId val="27150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669993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التمارين_DB!$B$100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rgbClr val="4F81BD"/>
            </a:solidFill>
            <a:ln w="20000">
              <a:solidFill>
                <a:srgbClr val="FFFFFF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1E3A8A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428-47FE-B0D7-CE4201FBCB17}"/>
              </c:ext>
            </c:extLst>
          </c:dPt>
          <c:dPt>
            <c:idx val="1"/>
            <c:bubble3D val="0"/>
            <c:spPr>
              <a:solidFill>
                <a:srgbClr val="0D9488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428-47FE-B0D7-CE4201FBCB17}"/>
              </c:ext>
            </c:extLst>
          </c:dPt>
          <c:dPt>
            <c:idx val="2"/>
            <c:bubble3D val="0"/>
            <c:spPr>
              <a:solidFill>
                <a:srgbClr val="DC2626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428-47FE-B0D7-CE4201FBCB17}"/>
              </c:ext>
            </c:extLst>
          </c:dPt>
          <c:dPt>
            <c:idx val="3"/>
            <c:bubble3D val="0"/>
            <c:spPr>
              <a:solidFill>
                <a:srgbClr val="D97706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428-47FE-B0D7-CE4201FBCB1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0428-47FE-B0D7-CE4201FBCB1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0428-47FE-B0D7-CE4201FBCB1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0428-47FE-B0D7-CE4201FBCB1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0428-47FE-B0D7-CE4201FBCB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التمارين_DB!$A$101:$A$104</c:f>
              <c:strCache>
                <c:ptCount val="4"/>
                <c:pt idx="0">
                  <c:v>إخلاء وهمي</c:v>
                </c:pt>
                <c:pt idx="1">
                  <c:v>حريق</c:v>
                </c:pt>
                <c:pt idx="2">
                  <c:v>تسرب مواد خطرة</c:v>
                </c:pt>
                <c:pt idx="3">
                  <c:v>إسعافات أولية</c:v>
                </c:pt>
              </c:strCache>
            </c:strRef>
          </c:cat>
          <c:val>
            <c:numRef>
              <c:f>التمارين_DB!$B$101:$B$104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28-47FE-B0D7-CE4201FBC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التمارين_DB!$B$120</c:f>
              <c:strCache>
                <c:ptCount val="1"/>
                <c:pt idx="0">
                  <c:v>المشاركون</c:v>
                </c:pt>
              </c:strCache>
            </c:strRef>
          </c:tx>
          <c:spPr>
            <a:solidFill>
              <a:srgbClr val="D97706"/>
            </a:solidFill>
            <a:ln w="0">
              <a:solidFill>
                <a:srgbClr val="D97706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التمارين_DB!$A$121:$A$123</c:f>
              <c:strCache>
                <c:ptCount val="3"/>
                <c:pt idx="0">
                  <c:v>أم الحول</c:v>
                </c:pt>
                <c:pt idx="1">
                  <c:v>الدوريات</c:v>
                </c:pt>
                <c:pt idx="2">
                  <c:v>رأس أبو فنطاس</c:v>
                </c:pt>
              </c:strCache>
            </c:strRef>
          </c:cat>
          <c:val>
            <c:numRef>
              <c:f>التمارين_DB!$B$121:$B$123</c:f>
              <c:numCache>
                <c:formatCode>General</c:formatCode>
                <c:ptCount val="3"/>
                <c:pt idx="0">
                  <c:v>281</c:v>
                </c:pt>
                <c:pt idx="1">
                  <c:v>144</c:v>
                </c:pt>
                <c:pt idx="2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4-434D-844F-D6797FFB8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32570070"/>
        <c:axId val="29112505"/>
      </c:barChart>
      <c:catAx>
        <c:axId val="325700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112505"/>
        <c:crosses val="autoZero"/>
        <c:auto val="1"/>
        <c:lblAlgn val="ctr"/>
        <c:lblOffset val="100"/>
        <c:noMultiLvlLbl val="0"/>
      </c:catAx>
      <c:valAx>
        <c:axId val="291125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57007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الزيارات_DB!$B$100</c:f>
              <c:strCache>
                <c:ptCount val="1"/>
                <c:pt idx="0">
                  <c:v>الزيارات</c:v>
                </c:pt>
              </c:strCache>
            </c:strRef>
          </c:tx>
          <c:spPr>
            <a:ln w="32000">
              <a:solidFill>
                <a:srgbClr val="059669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059669"/>
              </a:solidFill>
              <a:ln w="150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الزيارات_DB!$A$101:$A$131</c:f>
              <c:strCache>
                <c:ptCount val="31"/>
                <c:pt idx="0">
                  <c:v>2026-05-01</c:v>
                </c:pt>
                <c:pt idx="1">
                  <c:v>2026-05-02</c:v>
                </c:pt>
                <c:pt idx="2">
                  <c:v>2026-05-03</c:v>
                </c:pt>
                <c:pt idx="3">
                  <c:v>2026-05-04</c:v>
                </c:pt>
                <c:pt idx="4">
                  <c:v>2026-05-05</c:v>
                </c:pt>
                <c:pt idx="5">
                  <c:v>2026-05-06</c:v>
                </c:pt>
                <c:pt idx="6">
                  <c:v>2026-05-07</c:v>
                </c:pt>
                <c:pt idx="7">
                  <c:v>2026-05-08</c:v>
                </c:pt>
                <c:pt idx="8">
                  <c:v>2026-05-09</c:v>
                </c:pt>
                <c:pt idx="9">
                  <c:v>2026-05-10</c:v>
                </c:pt>
                <c:pt idx="10">
                  <c:v>2026-05-11</c:v>
                </c:pt>
                <c:pt idx="11">
                  <c:v>2026-05-12</c:v>
                </c:pt>
                <c:pt idx="12">
                  <c:v>2026-05-13</c:v>
                </c:pt>
                <c:pt idx="13">
                  <c:v>2026-05-14</c:v>
                </c:pt>
                <c:pt idx="14">
                  <c:v>2026-05-15</c:v>
                </c:pt>
                <c:pt idx="15">
                  <c:v>2026-05-16</c:v>
                </c:pt>
                <c:pt idx="16">
                  <c:v>2026-05-17</c:v>
                </c:pt>
                <c:pt idx="17">
                  <c:v>2026-05-18</c:v>
                </c:pt>
                <c:pt idx="18">
                  <c:v>2026-05-19</c:v>
                </c:pt>
                <c:pt idx="19">
                  <c:v>المحطة</c:v>
                </c:pt>
                <c:pt idx="20">
                  <c:v>أم الحول</c:v>
                </c:pt>
                <c:pt idx="21">
                  <c:v>الدوريات الأمنية</c:v>
                </c:pt>
                <c:pt idx="22">
                  <c:v>رأس أبو فنطاس</c:v>
                </c:pt>
                <c:pt idx="23">
                  <c:v>2026-05-24</c:v>
                </c:pt>
                <c:pt idx="24">
                  <c:v>2026-05-25</c:v>
                </c:pt>
                <c:pt idx="25">
                  <c:v>2026-05-26</c:v>
                </c:pt>
                <c:pt idx="26">
                  <c:v>2026-05-27</c:v>
                </c:pt>
                <c:pt idx="27">
                  <c:v>2026-05-28</c:v>
                </c:pt>
                <c:pt idx="28">
                  <c:v>2026-05-29</c:v>
                </c:pt>
                <c:pt idx="29">
                  <c:v>2026-05-30</c:v>
                </c:pt>
                <c:pt idx="30">
                  <c:v>2026-05-31</c:v>
                </c:pt>
              </c:strCache>
            </c:strRef>
          </c:cat>
          <c:val>
            <c:numRef>
              <c:f>الزيارات_DB!$B$101:$B$131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7</c:v>
                </c:pt>
                <c:pt idx="21">
                  <c:v>7</c:v>
                </c:pt>
                <c:pt idx="22">
                  <c:v>5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C6-4A36-8B36-2F2B2FF3C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28998064"/>
        <c:axId val="75066985"/>
      </c:lineChart>
      <c:catAx>
        <c:axId val="2899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066985"/>
        <c:crosses val="autoZero"/>
        <c:auto val="1"/>
        <c:lblAlgn val="ctr"/>
        <c:lblOffset val="100"/>
        <c:noMultiLvlLbl val="0"/>
      </c:catAx>
      <c:valAx>
        <c:axId val="750669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998064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الزيارات_DB!$B$120</c:f>
              <c:strCache>
                <c:ptCount val="1"/>
                <c:pt idx="0">
                  <c:v>الزيارات</c:v>
                </c:pt>
              </c:strCache>
            </c:strRef>
          </c:tx>
          <c:spPr>
            <a:solidFill>
              <a:srgbClr val="059669"/>
            </a:solidFill>
            <a:ln w="0">
              <a:solidFill>
                <a:srgbClr val="05966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الزيارات_DB!$A$121:$A$123</c:f>
              <c:strCache>
                <c:ptCount val="3"/>
                <c:pt idx="0">
                  <c:v>أم الحول</c:v>
                </c:pt>
                <c:pt idx="1">
                  <c:v>الدوريات الأمنية</c:v>
                </c:pt>
                <c:pt idx="2">
                  <c:v>رأس أبو فنطاس</c:v>
                </c:pt>
              </c:strCache>
            </c:strRef>
          </c:cat>
          <c:val>
            <c:numRef>
              <c:f>الزيارات_DB!$B$121:$B$123</c:f>
              <c:numCache>
                <c:formatCode>General</c:formatCode>
                <c:ptCount val="3"/>
                <c:pt idx="0">
                  <c:v>7</c:v>
                </c:pt>
                <c:pt idx="1">
                  <c:v>7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7-4B1B-9971-894FA7BDA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77832765"/>
        <c:axId val="38843318"/>
      </c:barChart>
      <c:catAx>
        <c:axId val="7783276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843318"/>
        <c:crosses val="autoZero"/>
        <c:auto val="1"/>
        <c:lblAlgn val="ctr"/>
        <c:lblOffset val="100"/>
        <c:noMultiLvlLbl val="0"/>
      </c:catAx>
      <c:valAx>
        <c:axId val="3884331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832765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الاحتياجات_DB!$B$150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rgbClr val="DB2777"/>
            </a:solidFill>
            <a:ln w="0">
              <a:solidFill>
                <a:srgbClr val="DB2777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الاحتياجات_DB!$A$151:$A$153</c:f>
              <c:strCache>
                <c:ptCount val="3"/>
                <c:pt idx="0">
                  <c:v>أم الحول</c:v>
                </c:pt>
                <c:pt idx="1">
                  <c:v>رأس أبو فنطاس</c:v>
                </c:pt>
                <c:pt idx="2">
                  <c:v>الدوريات</c:v>
                </c:pt>
              </c:strCache>
            </c:strRef>
          </c:cat>
          <c:val>
            <c:numRef>
              <c:f>الاحتياجات_DB!$B$151:$B$153</c:f>
              <c:numCache>
                <c:formatCode>General</c:formatCode>
                <c:ptCount val="3"/>
                <c:pt idx="0">
                  <c:v>13</c:v>
                </c:pt>
                <c:pt idx="1">
                  <c:v>9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4-4399-9244-51BBB91A6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559140"/>
        <c:axId val="10840711"/>
      </c:barChart>
      <c:catAx>
        <c:axId val="5591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840711"/>
        <c:crosses val="autoZero"/>
        <c:auto val="1"/>
        <c:lblAlgn val="ctr"/>
        <c:lblOffset val="100"/>
        <c:noMultiLvlLbl val="0"/>
      </c:catAx>
      <c:valAx>
        <c:axId val="108407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914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القوى_البشرية_DB!$B$100</c:f>
              <c:strCache>
                <c:ptCount val="1"/>
                <c:pt idx="0">
                  <c:v>الجاهزية</c:v>
                </c:pt>
              </c:strCache>
            </c:strRef>
          </c:tx>
          <c:spPr>
            <a:ln w="32000">
              <a:solidFill>
                <a:srgbClr val="7C3AED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7C3AED"/>
              </a:solidFill>
              <a:ln w="150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القوى_البشرية_DB!$A$101:$A$105</c:f>
              <c:strCache>
                <c:ptCount val="5"/>
                <c:pt idx="0">
                  <c:v>الأسبوع الأول</c:v>
                </c:pt>
                <c:pt idx="1">
                  <c:v>الأسبوع الثالث</c:v>
                </c:pt>
                <c:pt idx="2">
                  <c:v>الأسبوع الثاني</c:v>
                </c:pt>
                <c:pt idx="3">
                  <c:v>الأسبوع الخامس</c:v>
                </c:pt>
                <c:pt idx="4">
                  <c:v>الأسبوع الرابع</c:v>
                </c:pt>
              </c:strCache>
            </c:strRef>
          </c:cat>
          <c:val>
            <c:numRef>
              <c:f>القوى_البشرية_DB!$B$101:$B$105</c:f>
              <c:numCache>
                <c:formatCode>General</c:formatCode>
                <c:ptCount val="5"/>
                <c:pt idx="0">
                  <c:v>81.3</c:v>
                </c:pt>
                <c:pt idx="1">
                  <c:v>82</c:v>
                </c:pt>
                <c:pt idx="2">
                  <c:v>81.7</c:v>
                </c:pt>
                <c:pt idx="3">
                  <c:v>77.7</c:v>
                </c:pt>
                <c:pt idx="4">
                  <c:v>81.599999999999994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41A-4065-A82E-BB658106D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2511055"/>
        <c:axId val="28488928"/>
      </c:lineChart>
      <c:catAx>
        <c:axId val="251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488928"/>
        <c:crosses val="autoZero"/>
        <c:auto val="1"/>
        <c:lblAlgn val="ctr"/>
        <c:lblOffset val="100"/>
        <c:noMultiLvlLbl val="0"/>
      </c:catAx>
      <c:valAx>
        <c:axId val="284889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11055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القوى_البشرية_DB!$B$120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rgbClr val="4F81BD"/>
            </a:solidFill>
            <a:ln w="20000">
              <a:solidFill>
                <a:srgbClr val="FFFFFF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1E3A8A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E7-469B-831C-996F8A65DDAE}"/>
              </c:ext>
            </c:extLst>
          </c:dPt>
          <c:dPt>
            <c:idx val="1"/>
            <c:bubble3D val="0"/>
            <c:spPr>
              <a:solidFill>
                <a:srgbClr val="0D9488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2E7-469B-831C-996F8A65DDAE}"/>
              </c:ext>
            </c:extLst>
          </c:dPt>
          <c:dPt>
            <c:idx val="2"/>
            <c:bubble3D val="0"/>
            <c:spPr>
              <a:solidFill>
                <a:srgbClr val="DC2626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2E7-469B-831C-996F8A65DDA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52E7-469B-831C-996F8A65DDA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52E7-469B-831C-996F8A65DDA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52E7-469B-831C-996F8A65DD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القوى_البشرية_DB!$A$121:$A$123</c:f>
              <c:strCache>
                <c:ptCount val="3"/>
                <c:pt idx="0">
                  <c:v>إجازات مستحقة</c:v>
                </c:pt>
                <c:pt idx="1">
                  <c:v>إجازات مرضية</c:v>
                </c:pt>
                <c:pt idx="2">
                  <c:v>غياب</c:v>
                </c:pt>
              </c:strCache>
            </c:strRef>
          </c:cat>
          <c:val>
            <c:numRef>
              <c:f>القوى_البشرية_DB!$B$121:$B$123</c:f>
              <c:numCache>
                <c:formatCode>General</c:formatCode>
                <c:ptCount val="3"/>
                <c:pt idx="0">
                  <c:v>132</c:v>
                </c:pt>
                <c:pt idx="1">
                  <c:v>139</c:v>
                </c:pt>
                <c:pt idx="2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E7-469B-831C-996F8A65D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المركبات_DB!$B$100</c:f>
              <c:strCache>
                <c:ptCount val="1"/>
                <c:pt idx="0">
                  <c:v>الجاهزية</c:v>
                </c:pt>
              </c:strCache>
            </c:strRef>
          </c:tx>
          <c:spPr>
            <a:ln w="32000">
              <a:solidFill>
                <a:srgbClr val="0D9488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0D9488"/>
              </a:solidFill>
              <a:ln w="150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المركبات_DB!$A$101:$A$105</c:f>
              <c:strCache>
                <c:ptCount val="5"/>
                <c:pt idx="0">
                  <c:v>الأسبوع الأول</c:v>
                </c:pt>
                <c:pt idx="1">
                  <c:v>الأسبوع الثالث</c:v>
                </c:pt>
                <c:pt idx="2">
                  <c:v>الأسبوع الثاني</c:v>
                </c:pt>
                <c:pt idx="3">
                  <c:v>الأسبوع الخامس</c:v>
                </c:pt>
                <c:pt idx="4">
                  <c:v>الأسبوع الرابع</c:v>
                </c:pt>
              </c:strCache>
            </c:strRef>
          </c:cat>
          <c:val>
            <c:numRef>
              <c:f>المركبات_DB!$B$101:$B$105</c:f>
              <c:numCache>
                <c:formatCode>General</c:formatCode>
                <c:ptCount val="5"/>
                <c:pt idx="0">
                  <c:v>54.3</c:v>
                </c:pt>
                <c:pt idx="1">
                  <c:v>52.9</c:v>
                </c:pt>
                <c:pt idx="2">
                  <c:v>57.1</c:v>
                </c:pt>
                <c:pt idx="3">
                  <c:v>55</c:v>
                </c:pt>
                <c:pt idx="4">
                  <c:v>54.3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457-4A45-9EDA-3A4C09027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82153657"/>
        <c:axId val="8070957"/>
      </c:lineChart>
      <c:catAx>
        <c:axId val="821536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70957"/>
        <c:crosses val="autoZero"/>
        <c:auto val="1"/>
        <c:lblAlgn val="ctr"/>
        <c:lblOffset val="100"/>
        <c:noMultiLvlLbl val="0"/>
      </c:catAx>
      <c:valAx>
        <c:axId val="80709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153657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المركبات_DB!$B$120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rgbClr val="4F81BD"/>
            </a:solidFill>
            <a:ln w="20000">
              <a:solidFill>
                <a:srgbClr val="FFFFFF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1E3A8A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D9F-4CB1-9524-FB9C8CC1D86C}"/>
              </c:ext>
            </c:extLst>
          </c:dPt>
          <c:dPt>
            <c:idx val="1"/>
            <c:bubble3D val="0"/>
            <c:spPr>
              <a:solidFill>
                <a:srgbClr val="0D9488"/>
              </a:solidFill>
              <a:ln w="200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D9F-4CB1-9524-FB9C8CC1D86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0D9F-4CB1-9524-FB9C8CC1D86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0D9F-4CB1-9524-FB9C8CC1D8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المركبات_DB!$A$121:$A$122</c:f>
              <c:strCache>
                <c:ptCount val="2"/>
                <c:pt idx="0">
                  <c:v>مستخدمة</c:v>
                </c:pt>
                <c:pt idx="1">
                  <c:v>خارج الخدمة</c:v>
                </c:pt>
              </c:strCache>
            </c:strRef>
          </c:cat>
          <c:val>
            <c:numRef>
              <c:f>المركبات_DB!$B$121:$B$122</c:f>
              <c:numCache>
                <c:formatCode>General</c:formatCode>
                <c:ptCount val="2"/>
                <c:pt idx="0">
                  <c:v>1695</c:v>
                </c:pt>
                <c:pt idx="1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9F-4CB1-9524-FB9C8CC1D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100000</xdr:colOff>
      <xdr:row>21</xdr:row>
      <xdr:rowOff>100000</xdr:rowOff>
    </xdr:from>
    <xdr:to>
      <xdr:col>13</xdr:col>
      <xdr:colOff>-100000</xdr:colOff>
      <xdr:row>31</xdr:row>
      <xdr:rowOff>-100000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100000</xdr:colOff>
      <xdr:row>21</xdr:row>
      <xdr:rowOff>100000</xdr:rowOff>
    </xdr:from>
    <xdr:to>
      <xdr:col>24</xdr:col>
      <xdr:colOff>-100000</xdr:colOff>
      <xdr:row>31</xdr:row>
      <xdr:rowOff>-100000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100000</xdr:colOff>
      <xdr:row>33</xdr:row>
      <xdr:rowOff>100000</xdr:rowOff>
    </xdr:from>
    <xdr:to>
      <xdr:col>13</xdr:col>
      <xdr:colOff>-100000</xdr:colOff>
      <xdr:row>43</xdr:row>
      <xdr:rowOff>-100000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100000</xdr:colOff>
      <xdr:row>33</xdr:row>
      <xdr:rowOff>100000</xdr:rowOff>
    </xdr:from>
    <xdr:to>
      <xdr:col>24</xdr:col>
      <xdr:colOff>-100000</xdr:colOff>
      <xdr:row>43</xdr:row>
      <xdr:rowOff>-100000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100000</xdr:colOff>
      <xdr:row>45</xdr:row>
      <xdr:rowOff>100000</xdr:rowOff>
    </xdr:from>
    <xdr:to>
      <xdr:col>13</xdr:col>
      <xdr:colOff>-100000</xdr:colOff>
      <xdr:row>63</xdr:row>
      <xdr:rowOff>-100000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100000</xdr:colOff>
      <xdr:row>45</xdr:row>
      <xdr:rowOff>100000</xdr:rowOff>
    </xdr:from>
    <xdr:to>
      <xdr:col>24</xdr:col>
      <xdr:colOff>-100000</xdr:colOff>
      <xdr:row>63</xdr:row>
      <xdr:rowOff>-100000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137160</xdr:colOff>
      <xdr:row>12</xdr:row>
      <xdr:rowOff>100000</xdr:rowOff>
    </xdr:from>
    <xdr:to>
      <xdr:col>12</xdr:col>
      <xdr:colOff>380060</xdr:colOff>
      <xdr:row>28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106680</xdr:colOff>
      <xdr:row>12</xdr:row>
      <xdr:rowOff>100000</xdr:rowOff>
    </xdr:from>
    <xdr:to>
      <xdr:col>23</xdr:col>
      <xdr:colOff>380060</xdr:colOff>
      <xdr:row>28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100000</xdr:colOff>
      <xdr:row>32</xdr:row>
      <xdr:rowOff>100000</xdr:rowOff>
    </xdr:from>
    <xdr:to>
      <xdr:col>24</xdr:col>
      <xdr:colOff>-100000</xdr:colOff>
      <xdr:row>50</xdr:row>
      <xdr:rowOff>-100000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100000</xdr:colOff>
      <xdr:row>12</xdr:row>
      <xdr:rowOff>100000</xdr:rowOff>
    </xdr:from>
    <xdr:to>
      <xdr:col>13</xdr:col>
      <xdr:colOff>-100000</xdr:colOff>
      <xdr:row>32</xdr:row>
      <xdr:rowOff>-100000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100000</xdr:colOff>
      <xdr:row>12</xdr:row>
      <xdr:rowOff>100000</xdr:rowOff>
    </xdr:from>
    <xdr:to>
      <xdr:col>24</xdr:col>
      <xdr:colOff>-100000</xdr:colOff>
      <xdr:row>32</xdr:row>
      <xdr:rowOff>-100000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100000</xdr:colOff>
      <xdr:row>12</xdr:row>
      <xdr:rowOff>100000</xdr:rowOff>
    </xdr:from>
    <xdr:to>
      <xdr:col>12</xdr:col>
      <xdr:colOff>228600</xdr:colOff>
      <xdr:row>28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100000</xdr:colOff>
      <xdr:row>12</xdr:row>
      <xdr:rowOff>100000</xdr:rowOff>
    </xdr:from>
    <xdr:to>
      <xdr:col>23</xdr:col>
      <xdr:colOff>358140</xdr:colOff>
      <xdr:row>28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100000</xdr:colOff>
      <xdr:row>12</xdr:row>
      <xdr:rowOff>100000</xdr:rowOff>
    </xdr:from>
    <xdr:to>
      <xdr:col>13</xdr:col>
      <xdr:colOff>-100000</xdr:colOff>
      <xdr:row>32</xdr:row>
      <xdr:rowOff>-100000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100000</xdr:colOff>
      <xdr:row>12</xdr:row>
      <xdr:rowOff>100000</xdr:rowOff>
    </xdr:from>
    <xdr:to>
      <xdr:col>24</xdr:col>
      <xdr:colOff>-100000</xdr:colOff>
      <xdr:row>32</xdr:row>
      <xdr:rowOff>-100000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100000</xdr:colOff>
      <xdr:row>12</xdr:row>
      <xdr:rowOff>100000</xdr:rowOff>
    </xdr:from>
    <xdr:to>
      <xdr:col>13</xdr:col>
      <xdr:colOff>-100000</xdr:colOff>
      <xdr:row>32</xdr:row>
      <xdr:rowOff>-100000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100000</xdr:colOff>
      <xdr:row>12</xdr:row>
      <xdr:rowOff>100000</xdr:rowOff>
    </xdr:from>
    <xdr:to>
      <xdr:col>24</xdr:col>
      <xdr:colOff>-100000</xdr:colOff>
      <xdr:row>32</xdr:row>
      <xdr:rowOff>-100000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100000</xdr:colOff>
      <xdr:row>12</xdr:row>
      <xdr:rowOff>100000</xdr:rowOff>
    </xdr:from>
    <xdr:to>
      <xdr:col>13</xdr:col>
      <xdr:colOff>-100000</xdr:colOff>
      <xdr:row>32</xdr:row>
      <xdr:rowOff>-100000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100000</xdr:colOff>
      <xdr:row>12</xdr:row>
      <xdr:rowOff>100000</xdr:rowOff>
    </xdr:from>
    <xdr:to>
      <xdr:col>24</xdr:col>
      <xdr:colOff>-100000</xdr:colOff>
      <xdr:row>32</xdr:row>
      <xdr:rowOff>-100000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100000</xdr:colOff>
      <xdr:row>49</xdr:row>
      <xdr:rowOff>100000</xdr:rowOff>
    </xdr:from>
    <xdr:to>
      <xdr:col>21</xdr:col>
      <xdr:colOff>380060</xdr:colOff>
      <xdr:row>66</xdr:row>
      <xdr:rowOff>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100000</xdr:colOff>
      <xdr:row>12</xdr:row>
      <xdr:rowOff>100000</xdr:rowOff>
    </xdr:from>
    <xdr:to>
      <xdr:col>12</xdr:col>
      <xdr:colOff>228600</xdr:colOff>
      <xdr:row>28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100000</xdr:colOff>
      <xdr:row>12</xdr:row>
      <xdr:rowOff>100000</xdr:rowOff>
    </xdr:from>
    <xdr:to>
      <xdr:col>23</xdr:col>
      <xdr:colOff>358140</xdr:colOff>
      <xdr:row>28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100000</xdr:colOff>
      <xdr:row>12</xdr:row>
      <xdr:rowOff>100000</xdr:rowOff>
    </xdr:from>
    <xdr:to>
      <xdr:col>12</xdr:col>
      <xdr:colOff>220980</xdr:colOff>
      <xdr:row>28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100000</xdr:colOff>
      <xdr:row>12</xdr:row>
      <xdr:rowOff>100000</xdr:rowOff>
    </xdr:from>
    <xdr:to>
      <xdr:col>23</xdr:col>
      <xdr:colOff>388620</xdr:colOff>
      <xdr:row>28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&#1604;&#1608;&#1581;&#1577;_&#1575;&#1604;&#1605;&#1578;&#1575;&#1576;&#1593;&#1577;_&#1575;&#1604;&#1578;&#1588;&#1594;&#1610;&#1604;&#1610;&#1577;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&#1604;&#1608;&#1581;&#1577;_&#1575;&#1604;&#1605;&#1578;&#1575;&#1576;&#1593;&#1577;_&#1575;&#1604;&#1578;&#1588;&#1594;&#1610;&#1604;&#1610;&#1577;.xlsx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&#1604;&#1608;&#1581;&#1577;_&#1575;&#1604;&#1605;&#1578;&#1575;&#1576;&#1593;&#1577;_&#1575;&#1604;&#1578;&#1588;&#1594;&#1610;&#1604;&#1610;&#1577;.xlsx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&#1604;&#1608;&#1581;&#1577;_&#1575;&#1604;&#1605;&#1578;&#1575;&#1576;&#1593;&#1577;_&#1575;&#1604;&#1578;&#1588;&#1594;&#1610;&#1604;&#1610;&#1577;.xlsx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&#1604;&#1608;&#1581;&#1577;_&#1575;&#1604;&#1605;&#1578;&#1575;&#1576;&#1593;&#1577;_&#1575;&#1604;&#1578;&#1588;&#1594;&#1610;&#1604;&#1610;&#1577;.xlsx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&#1604;&#1608;&#1581;&#1577;_&#1575;&#1604;&#1605;&#1578;&#1575;&#1576;&#1593;&#1577;_&#1575;&#1604;&#1578;&#1588;&#1594;&#1610;&#1604;&#1610;&#1577;.xlsx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&#1604;&#1608;&#1581;&#1577;_&#1575;&#1604;&#1605;&#1578;&#1575;&#1576;&#1593;&#1577;_&#1575;&#1604;&#1578;&#1588;&#1594;&#1610;&#1604;&#1610;&#1577;.xlsx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&#1604;&#1608;&#1581;&#1577;_&#1575;&#1604;&#1605;&#1578;&#1575;&#1576;&#1593;&#1577;_&#1575;&#1604;&#1578;&#1588;&#1594;&#1610;&#1604;&#1610;&#1577;.xlsx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&#1604;&#1608;&#1581;&#1577;_&#1575;&#1604;&#1605;&#1578;&#1575;&#1576;&#1593;&#1577;_&#1575;&#1604;&#1578;&#1588;&#1594;&#1610;&#1604;&#1610;&#1577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A2342"/>
  </sheetPr>
  <dimension ref="A1:AA163"/>
  <sheetViews>
    <sheetView showGridLines="0" rightToLeft="1" tabSelected="1" zoomScaleNormal="100" workbookViewId="0">
      <pane xSplit="3" ySplit="5" topLeftCell="E6" activePane="bottomRight" state="frozen"/>
      <selection pane="topRight" activeCell="D1" sqref="D1"/>
      <selection pane="bottomLeft" activeCell="A6" sqref="A6"/>
      <selection pane="bottomRight" activeCell="AD12" sqref="AD12"/>
    </sheetView>
  </sheetViews>
  <sheetFormatPr defaultColWidth="8.6640625" defaultRowHeight="14.4"/>
  <cols>
    <col min="1" max="1" width="3" customWidth="1"/>
    <col min="2" max="2" width="4" customWidth="1"/>
    <col min="3" max="3" width="14" customWidth="1"/>
    <col min="4" max="29" width="7" customWidth="1"/>
  </cols>
  <sheetData>
    <row r="1" spans="1:27" ht="24.75" customHeight="1">
      <c r="A1" s="72" t="s">
        <v>0</v>
      </c>
      <c r="B1" s="71"/>
      <c r="C1" s="71"/>
      <c r="D1" s="75" t="s">
        <v>1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85" t="s">
        <v>2</v>
      </c>
      <c r="Y1" s="71"/>
      <c r="Z1" s="71"/>
      <c r="AA1" s="71"/>
    </row>
    <row r="2" spans="1:27" ht="24.75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 spans="1:27" ht="19.5" customHeigh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</row>
    <row r="4" spans="1:27" ht="3.75" customHeight="1">
      <c r="A4" s="71"/>
      <c r="B4" s="71"/>
      <c r="C4" s="7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7.5" customHeight="1">
      <c r="A5" s="71"/>
      <c r="B5" s="71"/>
      <c r="C5" s="7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1.75" customHeight="1">
      <c r="A6" s="73" t="s">
        <v>3</v>
      </c>
      <c r="B6" s="71"/>
      <c r="C6" s="71"/>
      <c r="D6" s="76" t="s">
        <v>4</v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 spans="1:27" ht="18" customHeight="1">
      <c r="A7" s="71"/>
      <c r="B7" s="71"/>
      <c r="C7" s="71"/>
      <c r="D7" s="3"/>
      <c r="E7" s="70" t="s">
        <v>5</v>
      </c>
      <c r="F7" s="86" t="s">
        <v>6</v>
      </c>
      <c r="G7" s="78"/>
      <c r="H7" s="78"/>
      <c r="I7" s="78"/>
      <c r="J7" s="79"/>
      <c r="K7" s="2"/>
      <c r="L7" s="4"/>
      <c r="M7" s="70" t="s">
        <v>7</v>
      </c>
      <c r="N7" s="82" t="s">
        <v>6</v>
      </c>
      <c r="O7" s="78"/>
      <c r="P7" s="78"/>
      <c r="Q7" s="78"/>
      <c r="R7" s="79"/>
      <c r="S7" s="2"/>
      <c r="T7" s="5"/>
      <c r="U7" s="70" t="s">
        <v>8</v>
      </c>
      <c r="V7" s="91" t="s">
        <v>9</v>
      </c>
      <c r="W7" s="78"/>
      <c r="X7" s="78"/>
      <c r="Y7" s="78"/>
      <c r="Z7" s="79"/>
      <c r="AA7" s="2"/>
    </row>
    <row r="8" spans="1:27" ht="18" customHeight="1">
      <c r="A8" s="71"/>
      <c r="B8" s="71"/>
      <c r="C8" s="71"/>
      <c r="D8" s="6"/>
      <c r="E8" s="71"/>
      <c r="F8" s="83" t="s">
        <v>10</v>
      </c>
      <c r="G8" s="71"/>
      <c r="H8" s="71"/>
      <c r="I8" s="71"/>
      <c r="J8" s="84"/>
      <c r="K8" s="2"/>
      <c r="L8" s="7"/>
      <c r="M8" s="71"/>
      <c r="N8" s="83" t="s">
        <v>11</v>
      </c>
      <c r="O8" s="71"/>
      <c r="P8" s="71"/>
      <c r="Q8" s="71"/>
      <c r="R8" s="84"/>
      <c r="S8" s="2"/>
      <c r="T8" s="8"/>
      <c r="U8" s="71"/>
      <c r="V8" s="83" t="s">
        <v>12</v>
      </c>
      <c r="W8" s="71"/>
      <c r="X8" s="71"/>
      <c r="Y8" s="71"/>
      <c r="Z8" s="84"/>
      <c r="AA8" s="2"/>
    </row>
    <row r="9" spans="1:27" ht="18" customHeight="1">
      <c r="A9" s="9"/>
      <c r="B9" s="9"/>
      <c r="C9" s="9"/>
      <c r="D9" s="10"/>
      <c r="E9" s="11"/>
      <c r="F9" s="11"/>
      <c r="G9" s="11"/>
      <c r="H9" s="11"/>
      <c r="I9" s="11"/>
      <c r="J9" s="12"/>
      <c r="K9" s="2"/>
      <c r="L9" s="13"/>
      <c r="M9" s="11"/>
      <c r="N9" s="11"/>
      <c r="O9" s="11"/>
      <c r="P9" s="11"/>
      <c r="Q9" s="11"/>
      <c r="R9" s="12"/>
      <c r="S9" s="2"/>
      <c r="T9" s="14"/>
      <c r="U9" s="11"/>
      <c r="V9" s="11"/>
      <c r="W9" s="11"/>
      <c r="X9" s="11"/>
      <c r="Y9" s="11"/>
      <c r="Z9" s="12"/>
      <c r="AA9" s="2"/>
    </row>
    <row r="10" spans="1:27" ht="18" customHeight="1">
      <c r="A10" s="15"/>
      <c r="B10" s="15"/>
      <c r="C10" s="1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8" customHeight="1">
      <c r="A11" s="1"/>
      <c r="B11" s="50" t="s">
        <v>13</v>
      </c>
      <c r="C11" s="51" t="s">
        <v>14</v>
      </c>
      <c r="D11" s="16"/>
      <c r="E11" s="70" t="s">
        <v>15</v>
      </c>
      <c r="F11" s="77" t="s">
        <v>6</v>
      </c>
      <c r="G11" s="78"/>
      <c r="H11" s="78"/>
      <c r="I11" s="78"/>
      <c r="J11" s="79"/>
      <c r="K11" s="2"/>
      <c r="L11" s="17"/>
      <c r="M11" s="70" t="s">
        <v>16</v>
      </c>
      <c r="N11" s="81" t="s">
        <v>17</v>
      </c>
      <c r="O11" s="78"/>
      <c r="P11" s="78"/>
      <c r="Q11" s="78"/>
      <c r="R11" s="79"/>
      <c r="S11" s="2"/>
      <c r="T11" s="18"/>
      <c r="U11" s="70" t="s">
        <v>18</v>
      </c>
      <c r="V11" s="89" t="s">
        <v>6</v>
      </c>
      <c r="W11" s="78"/>
      <c r="X11" s="78"/>
      <c r="Y11" s="78"/>
      <c r="Z11" s="79"/>
      <c r="AA11" s="2"/>
    </row>
    <row r="12" spans="1:27" ht="18" customHeight="1">
      <c r="A12" s="1"/>
      <c r="B12" s="52"/>
      <c r="C12" s="53"/>
      <c r="D12" s="19"/>
      <c r="E12" s="71"/>
      <c r="F12" s="83" t="s">
        <v>19</v>
      </c>
      <c r="G12" s="71"/>
      <c r="H12" s="71"/>
      <c r="I12" s="71"/>
      <c r="J12" s="84"/>
      <c r="K12" s="2"/>
      <c r="L12" s="20"/>
      <c r="M12" s="71"/>
      <c r="N12" s="83" t="s">
        <v>20</v>
      </c>
      <c r="O12" s="71"/>
      <c r="P12" s="71"/>
      <c r="Q12" s="71"/>
      <c r="R12" s="84"/>
      <c r="S12" s="2"/>
      <c r="T12" s="21"/>
      <c r="U12" s="71"/>
      <c r="V12" s="83" t="s">
        <v>21</v>
      </c>
      <c r="W12" s="71"/>
      <c r="X12" s="71"/>
      <c r="Y12" s="71"/>
      <c r="Z12" s="84"/>
      <c r="AA12" s="2"/>
    </row>
    <row r="13" spans="1:27" ht="18" customHeight="1">
      <c r="A13" s="15"/>
      <c r="B13" s="52"/>
      <c r="C13" s="53"/>
      <c r="D13" s="22"/>
      <c r="E13" s="11"/>
      <c r="F13" s="11"/>
      <c r="G13" s="11"/>
      <c r="H13" s="11"/>
      <c r="I13" s="11"/>
      <c r="J13" s="12"/>
      <c r="K13" s="2"/>
      <c r="L13" s="23"/>
      <c r="M13" s="11"/>
      <c r="N13" s="11"/>
      <c r="O13" s="11"/>
      <c r="P13" s="11"/>
      <c r="Q13" s="11"/>
      <c r="R13" s="12"/>
      <c r="S13" s="2"/>
      <c r="T13" s="24"/>
      <c r="U13" s="11"/>
      <c r="V13" s="11"/>
      <c r="W13" s="11"/>
      <c r="X13" s="11"/>
      <c r="Y13" s="11"/>
      <c r="Z13" s="12"/>
      <c r="AA13" s="2"/>
    </row>
    <row r="14" spans="1:27" ht="18" customHeight="1">
      <c r="A14" s="15"/>
      <c r="B14" s="54" t="s">
        <v>5</v>
      </c>
      <c r="C14" s="55" t="s">
        <v>22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8" customHeight="1">
      <c r="A15" s="15"/>
      <c r="B15" s="56"/>
      <c r="C15" s="57"/>
      <c r="D15" s="25"/>
      <c r="E15" s="70" t="s">
        <v>23</v>
      </c>
      <c r="F15" s="87" t="s">
        <v>6</v>
      </c>
      <c r="G15" s="78"/>
      <c r="H15" s="78"/>
      <c r="I15" s="78"/>
      <c r="J15" s="79"/>
      <c r="K15" s="2"/>
      <c r="L15" s="18"/>
      <c r="M15" s="70" t="s">
        <v>24</v>
      </c>
      <c r="N15" s="89" t="s">
        <v>25</v>
      </c>
      <c r="O15" s="78"/>
      <c r="P15" s="78"/>
      <c r="Q15" s="78"/>
      <c r="R15" s="79"/>
      <c r="S15" s="2"/>
      <c r="T15" s="17"/>
      <c r="U15" s="70" t="s">
        <v>26</v>
      </c>
      <c r="V15" s="81" t="s">
        <v>27</v>
      </c>
      <c r="W15" s="78"/>
      <c r="X15" s="78"/>
      <c r="Y15" s="78"/>
      <c r="Z15" s="79"/>
      <c r="AA15" s="2"/>
    </row>
    <row r="16" spans="1:27" ht="18" customHeight="1">
      <c r="A16" s="15"/>
      <c r="B16" s="56"/>
      <c r="C16" s="57"/>
      <c r="D16" s="26"/>
      <c r="E16" s="71"/>
      <c r="F16" s="83" t="s">
        <v>28</v>
      </c>
      <c r="G16" s="71"/>
      <c r="H16" s="71"/>
      <c r="I16" s="71"/>
      <c r="J16" s="84"/>
      <c r="K16" s="2"/>
      <c r="L16" s="21"/>
      <c r="M16" s="71"/>
      <c r="N16" s="83" t="s">
        <v>29</v>
      </c>
      <c r="O16" s="71"/>
      <c r="P16" s="71"/>
      <c r="Q16" s="71"/>
      <c r="R16" s="84"/>
      <c r="S16" s="2"/>
      <c r="T16" s="20"/>
      <c r="U16" s="71"/>
      <c r="V16" s="83" t="s">
        <v>30</v>
      </c>
      <c r="W16" s="71"/>
      <c r="X16" s="71"/>
      <c r="Y16" s="71"/>
      <c r="Z16" s="84"/>
      <c r="AA16" s="2"/>
    </row>
    <row r="17" spans="1:27" ht="18" customHeight="1">
      <c r="A17" s="15"/>
      <c r="B17" s="54" t="s">
        <v>7</v>
      </c>
      <c r="C17" s="55" t="s">
        <v>31</v>
      </c>
      <c r="D17" s="27"/>
      <c r="E17" s="11"/>
      <c r="F17" s="11"/>
      <c r="G17" s="11"/>
      <c r="H17" s="11"/>
      <c r="I17" s="11"/>
      <c r="J17" s="12"/>
      <c r="K17" s="2"/>
      <c r="L17" s="24"/>
      <c r="M17" s="11"/>
      <c r="N17" s="11"/>
      <c r="O17" s="11"/>
      <c r="P17" s="11"/>
      <c r="Q17" s="11"/>
      <c r="R17" s="12"/>
      <c r="S17" s="2"/>
      <c r="T17" s="23"/>
      <c r="U17" s="11"/>
      <c r="V17" s="11"/>
      <c r="W17" s="11"/>
      <c r="X17" s="11"/>
      <c r="Y17" s="11"/>
      <c r="Z17" s="12"/>
      <c r="AA17" s="2"/>
    </row>
    <row r="18" spans="1:27" ht="18" customHeight="1">
      <c r="A18" s="15"/>
      <c r="B18" s="56"/>
      <c r="C18" s="57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7.5" customHeight="1">
      <c r="A19" s="15"/>
      <c r="B19" s="56"/>
      <c r="C19" s="57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21.75" customHeight="1">
      <c r="A20" s="15"/>
      <c r="B20" s="54" t="s">
        <v>8</v>
      </c>
      <c r="C20" s="55" t="s">
        <v>32</v>
      </c>
      <c r="D20" s="74" t="s">
        <v>33</v>
      </c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90" t="s">
        <v>34</v>
      </c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</row>
    <row r="21" spans="1:27" ht="15" customHeight="1">
      <c r="A21" s="15"/>
      <c r="B21" s="56"/>
      <c r="C21" s="57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" customHeight="1">
      <c r="A22" s="15"/>
      <c r="B22" s="56"/>
      <c r="C22" s="57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" customHeight="1">
      <c r="A23" s="15"/>
      <c r="B23" s="54" t="s">
        <v>15</v>
      </c>
      <c r="C23" s="55" t="s">
        <v>35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" customHeight="1">
      <c r="A24" s="15"/>
      <c r="B24" s="56"/>
      <c r="C24" s="5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" customHeight="1">
      <c r="A25" s="15"/>
      <c r="B25" s="56"/>
      <c r="C25" s="57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" customHeight="1">
      <c r="A26" s="15"/>
      <c r="B26" s="54" t="s">
        <v>18</v>
      </c>
      <c r="C26" s="55" t="s">
        <v>36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" customHeight="1">
      <c r="A27" s="15"/>
      <c r="B27" s="56"/>
      <c r="C27" s="5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" customHeight="1">
      <c r="A28" s="15"/>
      <c r="B28" s="56"/>
      <c r="C28" s="57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" customHeight="1">
      <c r="A29" s="15"/>
      <c r="B29" s="54" t="s">
        <v>16</v>
      </c>
      <c r="C29" s="55" t="s">
        <v>37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" customHeight="1">
      <c r="A30" s="15"/>
      <c r="B30" s="56"/>
      <c r="C30" s="57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" customHeight="1">
      <c r="A31" s="15"/>
      <c r="B31" s="56"/>
      <c r="C31" s="57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21.75" customHeight="1">
      <c r="A32" s="15"/>
      <c r="B32" s="54" t="s">
        <v>23</v>
      </c>
      <c r="C32" s="55" t="s">
        <v>28</v>
      </c>
      <c r="D32" s="88" t="s">
        <v>38</v>
      </c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92" t="s">
        <v>39</v>
      </c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</row>
    <row r="33" spans="1:27" ht="15" customHeight="1">
      <c r="A33" s="15"/>
      <c r="B33" s="56"/>
      <c r="C33" s="57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" customHeight="1">
      <c r="A34" s="15"/>
      <c r="B34" s="56"/>
      <c r="C34" s="57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" customHeight="1">
      <c r="A35" s="15"/>
      <c r="B35" s="54" t="s">
        <v>24</v>
      </c>
      <c r="C35" s="55" t="s">
        <v>40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" customHeight="1">
      <c r="A36" s="15"/>
      <c r="B36" s="56"/>
      <c r="C36" s="57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" customHeight="1">
      <c r="A37" s="15"/>
      <c r="B37" s="56"/>
      <c r="C37" s="5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" customHeight="1">
      <c r="A38" s="15"/>
      <c r="B38" s="54" t="s">
        <v>26</v>
      </c>
      <c r="C38" s="55" t="s">
        <v>41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" customHeight="1">
      <c r="A39" s="15"/>
      <c r="B39" s="56"/>
      <c r="C39" s="5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" customHeight="1">
      <c r="A40" s="15"/>
      <c r="B40" s="56"/>
      <c r="C40" s="5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" customHeight="1">
      <c r="A41" s="15"/>
      <c r="B41" s="50" t="s">
        <v>42</v>
      </c>
      <c r="C41" s="51" t="s">
        <v>43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" customHeight="1">
      <c r="A42" s="15"/>
      <c r="B42" s="52"/>
      <c r="C42" s="5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" customHeight="1">
      <c r="A43" s="15"/>
      <c r="B43" s="52"/>
      <c r="C43" s="5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21.75" customHeight="1">
      <c r="A44" s="15"/>
      <c r="B44" s="15"/>
      <c r="C44" s="15"/>
      <c r="D44" s="80" t="s">
        <v>44</v>
      </c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93" t="s">
        <v>45</v>
      </c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</row>
    <row r="45" spans="1:27" ht="15" customHeight="1">
      <c r="A45" s="15"/>
      <c r="B45" s="15"/>
      <c r="C45" s="1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" customHeight="1">
      <c r="A46" s="15"/>
      <c r="B46" s="15"/>
      <c r="C46" s="15"/>
    </row>
    <row r="47" spans="1:27" ht="15" customHeight="1">
      <c r="A47" s="15"/>
      <c r="B47" s="15"/>
      <c r="C47" s="15"/>
    </row>
    <row r="48" spans="1:27" ht="15" customHeight="1">
      <c r="A48" s="15"/>
      <c r="B48" s="15"/>
      <c r="C48" s="15"/>
    </row>
    <row r="49" spans="1:3" ht="15" customHeight="1">
      <c r="A49" s="15"/>
      <c r="B49" s="15"/>
      <c r="C49" s="15"/>
    </row>
    <row r="50" spans="1:3" ht="15" customHeight="1">
      <c r="A50" s="15"/>
      <c r="B50" s="15"/>
      <c r="C50" s="15"/>
    </row>
    <row r="51" spans="1:3" ht="15" customHeight="1">
      <c r="A51" s="15"/>
      <c r="B51" s="15"/>
      <c r="C51" s="15"/>
    </row>
    <row r="52" spans="1:3" ht="15" customHeight="1">
      <c r="A52" s="15"/>
      <c r="B52" s="15"/>
      <c r="C52" s="15"/>
    </row>
    <row r="53" spans="1:3" ht="15" customHeight="1">
      <c r="A53" s="15"/>
      <c r="B53" s="15"/>
      <c r="C53" s="15"/>
    </row>
    <row r="54" spans="1:3" ht="15" customHeight="1">
      <c r="A54" s="15"/>
      <c r="B54" s="15"/>
      <c r="C54" s="15"/>
    </row>
    <row r="55" spans="1:3" ht="15" customHeight="1">
      <c r="A55" s="15"/>
      <c r="B55" s="15"/>
      <c r="C55" s="15"/>
    </row>
    <row r="56" spans="1:3" ht="15" customHeight="1">
      <c r="A56" s="15"/>
      <c r="B56" s="15"/>
      <c r="C56" s="15"/>
    </row>
    <row r="57" spans="1:3" ht="15" customHeight="1">
      <c r="A57" s="15"/>
      <c r="B57" s="15"/>
      <c r="C57" s="15"/>
    </row>
    <row r="58" spans="1:3" ht="15" customHeight="1">
      <c r="A58" s="15"/>
      <c r="B58" s="15"/>
      <c r="C58" s="15"/>
    </row>
    <row r="59" spans="1:3" ht="15" customHeight="1">
      <c r="A59" s="15"/>
      <c r="B59" s="15"/>
      <c r="C59" s="15"/>
    </row>
    <row r="100" spans="1:2" ht="15" customHeight="1">
      <c r="A100" s="28" t="s">
        <v>46</v>
      </c>
      <c r="B100" s="28" t="s">
        <v>47</v>
      </c>
    </row>
    <row r="101" spans="1:2" ht="15" customHeight="1">
      <c r="A101" s="28" t="s">
        <v>48</v>
      </c>
      <c r="B101">
        <v>18</v>
      </c>
    </row>
    <row r="102" spans="1:2" ht="15" customHeight="1">
      <c r="A102" s="28" t="s">
        <v>49</v>
      </c>
      <c r="B102">
        <v>7</v>
      </c>
    </row>
    <row r="103" spans="1:2" ht="15" customHeight="1">
      <c r="A103" s="28" t="s">
        <v>50</v>
      </c>
      <c r="B103">
        <v>6</v>
      </c>
    </row>
    <row r="110" spans="1:2" ht="15" customHeight="1">
      <c r="A110" s="28" t="s">
        <v>51</v>
      </c>
      <c r="B110" s="28" t="s">
        <v>47</v>
      </c>
    </row>
    <row r="111" spans="1:2" ht="15" customHeight="1">
      <c r="A111" s="28" t="s">
        <v>52</v>
      </c>
      <c r="B111">
        <v>5</v>
      </c>
    </row>
    <row r="112" spans="1:2" ht="15" customHeight="1">
      <c r="A112" s="28" t="s">
        <v>53</v>
      </c>
      <c r="B112">
        <v>5</v>
      </c>
    </row>
    <row r="113" spans="1:2" ht="15" customHeight="1">
      <c r="A113" s="28" t="s">
        <v>54</v>
      </c>
      <c r="B113">
        <v>5</v>
      </c>
    </row>
    <row r="114" spans="1:2" ht="15" customHeight="1">
      <c r="A114" s="28" t="s">
        <v>55</v>
      </c>
      <c r="B114">
        <v>4</v>
      </c>
    </row>
    <row r="115" spans="1:2" ht="15" customHeight="1">
      <c r="A115" s="28" t="s">
        <v>56</v>
      </c>
      <c r="B115">
        <v>3</v>
      </c>
    </row>
    <row r="116" spans="1:2" ht="15" customHeight="1">
      <c r="A116" s="28" t="s">
        <v>57</v>
      </c>
      <c r="B116">
        <v>3</v>
      </c>
    </row>
    <row r="120" spans="1:2" ht="15" customHeight="1">
      <c r="A120" s="28" t="s">
        <v>58</v>
      </c>
      <c r="B120" s="28" t="s">
        <v>59</v>
      </c>
    </row>
    <row r="121" spans="1:2" ht="15" customHeight="1">
      <c r="A121" s="28" t="s">
        <v>60</v>
      </c>
      <c r="B121">
        <v>126</v>
      </c>
    </row>
    <row r="122" spans="1:2" ht="15" customHeight="1">
      <c r="A122" s="28" t="s">
        <v>61</v>
      </c>
      <c r="B122">
        <v>180</v>
      </c>
    </row>
    <row r="123" spans="1:2" ht="15" customHeight="1">
      <c r="A123" s="28" t="s">
        <v>62</v>
      </c>
      <c r="B123">
        <v>219</v>
      </c>
    </row>
    <row r="124" spans="1:2" ht="15" customHeight="1">
      <c r="A124" s="28" t="s">
        <v>63</v>
      </c>
      <c r="B124">
        <v>303</v>
      </c>
    </row>
    <row r="130" spans="1:2" ht="15" customHeight="1">
      <c r="A130" s="28" t="s">
        <v>64</v>
      </c>
      <c r="B130" s="28" t="s">
        <v>37</v>
      </c>
    </row>
    <row r="131" spans="1:2" ht="15" customHeight="1">
      <c r="A131" t="s">
        <v>65</v>
      </c>
      <c r="B131">
        <v>0</v>
      </c>
    </row>
    <row r="132" spans="1:2" ht="15" customHeight="1">
      <c r="A132" t="s">
        <v>66</v>
      </c>
      <c r="B132">
        <v>1</v>
      </c>
    </row>
    <row r="133" spans="1:2" ht="15" customHeight="1">
      <c r="A133" t="s">
        <v>67</v>
      </c>
      <c r="B133">
        <v>1</v>
      </c>
    </row>
    <row r="134" spans="1:2" ht="15" customHeight="1">
      <c r="A134" t="s">
        <v>68</v>
      </c>
      <c r="B134">
        <v>0</v>
      </c>
    </row>
    <row r="135" spans="1:2" ht="15" customHeight="1">
      <c r="A135" t="s">
        <v>69</v>
      </c>
      <c r="B135">
        <v>0</v>
      </c>
    </row>
    <row r="136" spans="1:2" ht="15" customHeight="1">
      <c r="A136" t="s">
        <v>70</v>
      </c>
      <c r="B136">
        <v>0</v>
      </c>
    </row>
    <row r="137" spans="1:2" ht="15" customHeight="1">
      <c r="A137" t="s">
        <v>71</v>
      </c>
      <c r="B137">
        <v>1</v>
      </c>
    </row>
    <row r="138" spans="1:2" ht="15" customHeight="1">
      <c r="A138" t="s">
        <v>72</v>
      </c>
      <c r="B138">
        <v>1</v>
      </c>
    </row>
    <row r="139" spans="1:2" ht="15" customHeight="1">
      <c r="A139" t="s">
        <v>73</v>
      </c>
      <c r="B139">
        <v>1</v>
      </c>
    </row>
    <row r="140" spans="1:2" ht="15" customHeight="1">
      <c r="A140" t="s">
        <v>74</v>
      </c>
      <c r="B140">
        <v>1</v>
      </c>
    </row>
    <row r="141" spans="1:2" ht="15" customHeight="1">
      <c r="A141" t="s">
        <v>75</v>
      </c>
      <c r="B141">
        <v>1</v>
      </c>
    </row>
    <row r="142" spans="1:2" ht="15" customHeight="1">
      <c r="A142" t="s">
        <v>76</v>
      </c>
      <c r="B142">
        <v>0</v>
      </c>
    </row>
    <row r="143" spans="1:2" ht="15" customHeight="1">
      <c r="A143" t="s">
        <v>77</v>
      </c>
      <c r="B143">
        <v>1</v>
      </c>
    </row>
    <row r="144" spans="1:2" ht="15" customHeight="1">
      <c r="A144" t="s">
        <v>78</v>
      </c>
      <c r="B144">
        <v>1</v>
      </c>
    </row>
    <row r="150" spans="1:2" ht="15" customHeight="1">
      <c r="A150" s="28" t="s">
        <v>79</v>
      </c>
      <c r="B150" s="28" t="s">
        <v>47</v>
      </c>
    </row>
    <row r="151" spans="1:2" ht="15" customHeight="1">
      <c r="A151" s="28" t="s">
        <v>80</v>
      </c>
      <c r="B151">
        <v>10</v>
      </c>
    </row>
    <row r="152" spans="1:2" ht="15" customHeight="1">
      <c r="A152" s="28" t="s">
        <v>81</v>
      </c>
      <c r="B152">
        <v>9</v>
      </c>
    </row>
    <row r="153" spans="1:2" ht="15" customHeight="1">
      <c r="A153" s="28" t="s">
        <v>82</v>
      </c>
      <c r="B153">
        <v>6</v>
      </c>
    </row>
    <row r="154" spans="1:2" ht="15" customHeight="1">
      <c r="A154" s="28" t="s">
        <v>83</v>
      </c>
      <c r="B154">
        <v>6</v>
      </c>
    </row>
    <row r="160" spans="1:2" ht="15" customHeight="1">
      <c r="A160" s="28" t="s">
        <v>84</v>
      </c>
      <c r="B160" s="28" t="s">
        <v>85</v>
      </c>
    </row>
    <row r="161" spans="1:2" ht="15" customHeight="1">
      <c r="A161" s="28" t="s">
        <v>86</v>
      </c>
      <c r="B161">
        <v>231</v>
      </c>
    </row>
    <row r="162" spans="1:2" ht="15" customHeight="1">
      <c r="A162" s="28" t="s">
        <v>87</v>
      </c>
      <c r="B162">
        <v>183</v>
      </c>
    </row>
    <row r="163" spans="1:2" ht="15" customHeight="1">
      <c r="A163" s="28" t="s">
        <v>88</v>
      </c>
      <c r="B163">
        <v>189</v>
      </c>
    </row>
  </sheetData>
  <mergeCells count="38">
    <mergeCell ref="V12:Z12"/>
    <mergeCell ref="O32:AA32"/>
    <mergeCell ref="V16:Z16"/>
    <mergeCell ref="N15:R15"/>
    <mergeCell ref="O44:AA44"/>
    <mergeCell ref="U15:U16"/>
    <mergeCell ref="D44:N44"/>
    <mergeCell ref="N11:R11"/>
    <mergeCell ref="N7:R7"/>
    <mergeCell ref="F16:J16"/>
    <mergeCell ref="M11:M12"/>
    <mergeCell ref="N16:R16"/>
    <mergeCell ref="M7:M8"/>
    <mergeCell ref="F7:J7"/>
    <mergeCell ref="M15:M16"/>
    <mergeCell ref="N12:R12"/>
    <mergeCell ref="F15:J15"/>
    <mergeCell ref="F12:J12"/>
    <mergeCell ref="E15:E16"/>
    <mergeCell ref="E11:E12"/>
    <mergeCell ref="D32:N32"/>
    <mergeCell ref="F8:J8"/>
    <mergeCell ref="U11:U12"/>
    <mergeCell ref="A1:C5"/>
    <mergeCell ref="A6:C8"/>
    <mergeCell ref="D20:N20"/>
    <mergeCell ref="D1:W3"/>
    <mergeCell ref="D6:AA6"/>
    <mergeCell ref="F11:J11"/>
    <mergeCell ref="V8:Z8"/>
    <mergeCell ref="X1:AA3"/>
    <mergeCell ref="U7:U8"/>
    <mergeCell ref="N8:R8"/>
    <mergeCell ref="V15:Z15"/>
    <mergeCell ref="V11:Z11"/>
    <mergeCell ref="E7:E8"/>
    <mergeCell ref="O20:AA20"/>
    <mergeCell ref="V7:Z7"/>
  </mergeCells>
  <hyperlinks>
    <hyperlink ref="C11" location="Dashboard!A1" display="الرئيسية" xr:uid="{00000000-0004-0000-0000-000000000000}"/>
    <hyperlink ref="C14" location="البلاغات_DB!A1" display="البلاغات" xr:uid="{00000000-0004-0000-0000-000001000000}"/>
    <hyperlink ref="C17" location="الإحالات_DB!A1" display="الإحالات" xr:uid="{00000000-0004-0000-0000-000002000000}"/>
    <hyperlink ref="C20" location="الدوريات_DB!A1" display="الدوريات" xr:uid="{00000000-0004-0000-0000-000003000000}"/>
    <hyperlink ref="C23" location="الدورات_DB!A1" display="الدورات" xr:uid="{00000000-0004-0000-0000-000004000000}"/>
    <hyperlink ref="C26" location="التمارين_DB!A1" display="التمارين" xr:uid="{00000000-0004-0000-0000-000005000000}"/>
    <hyperlink ref="C29" location="الزيارات_DB!A1" display="الزيارات" xr:uid="{00000000-0004-0000-0000-000006000000}"/>
    <hyperlink ref="C32" location="الاحتياجات_DB!A1" display="الاحتياجات" xr:uid="{00000000-0004-0000-0000-000007000000}"/>
    <hyperlink ref="C35" location="القوى_البشرية_DB!A1" display="القوى البشرية" xr:uid="{00000000-0004-0000-0000-000008000000}"/>
    <hyperlink ref="C38" location="المركبات_DB!A1" display="المركبات" xr:uid="{00000000-0004-0000-0000-000009000000}"/>
    <hyperlink ref="C41" location="Dashboard!A1" display="الإعدادات" xr:uid="{00000000-0004-0000-0000-00000A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C2626"/>
  </sheetPr>
  <dimension ref="A1:AA145"/>
  <sheetViews>
    <sheetView showGridLines="0" rightToLeft="1" topLeftCell="B2" zoomScaleNormal="100" workbookViewId="0">
      <selection activeCell="C17" sqref="C17"/>
    </sheetView>
  </sheetViews>
  <sheetFormatPr defaultColWidth="8.6640625" defaultRowHeight="14.4"/>
  <cols>
    <col min="1" max="1" width="3" customWidth="1"/>
    <col min="2" max="2" width="4" customWidth="1"/>
    <col min="3" max="3" width="14" customWidth="1"/>
    <col min="4" max="29" width="7" customWidth="1"/>
  </cols>
  <sheetData>
    <row r="1" spans="1:27" ht="24.75" customHeight="1">
      <c r="A1" s="72" t="s">
        <v>0</v>
      </c>
      <c r="B1" s="71"/>
      <c r="C1" s="71"/>
      <c r="D1" s="75" t="s">
        <v>89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85" t="s">
        <v>2</v>
      </c>
      <c r="Y1" s="71"/>
      <c r="Z1" s="71"/>
      <c r="AA1" s="71"/>
    </row>
    <row r="2" spans="1:27" ht="24.75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 spans="1:27" ht="19.5" customHeigh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</row>
    <row r="4" spans="1:27" ht="3.75" customHeight="1">
      <c r="A4" s="71"/>
      <c r="B4" s="71"/>
      <c r="C4" s="7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customHeight="1">
      <c r="A5" s="71"/>
      <c r="B5" s="71"/>
      <c r="C5" s="7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9" t="s">
        <v>90</v>
      </c>
    </row>
    <row r="6" spans="1:27" ht="21.75" customHeight="1">
      <c r="A6" s="73" t="s">
        <v>3</v>
      </c>
      <c r="B6" s="71"/>
      <c r="C6" s="71"/>
      <c r="D6" s="94" t="s">
        <v>91</v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 spans="1:27" ht="19.5" customHeight="1">
      <c r="A7" s="71"/>
      <c r="B7" s="71"/>
      <c r="C7" s="71"/>
      <c r="D7" s="3"/>
      <c r="E7" s="70" t="s">
        <v>5</v>
      </c>
      <c r="F7" s="86" t="s">
        <v>6</v>
      </c>
      <c r="G7" s="78"/>
      <c r="H7" s="79"/>
      <c r="I7" s="2"/>
      <c r="J7" s="30"/>
      <c r="K7" s="70" t="s">
        <v>92</v>
      </c>
      <c r="L7" s="95" t="s">
        <v>93</v>
      </c>
      <c r="M7" s="78"/>
      <c r="N7" s="79"/>
      <c r="O7" s="2"/>
      <c r="P7" s="25"/>
      <c r="Q7" s="70" t="s">
        <v>94</v>
      </c>
      <c r="R7" s="87" t="s">
        <v>95</v>
      </c>
      <c r="S7" s="78"/>
      <c r="T7" s="79"/>
      <c r="U7" s="2"/>
      <c r="V7" s="31"/>
      <c r="W7" s="70" t="s">
        <v>96</v>
      </c>
      <c r="X7" s="96" t="s">
        <v>97</v>
      </c>
      <c r="Y7" s="78"/>
      <c r="Z7" s="79"/>
      <c r="AA7" s="2"/>
    </row>
    <row r="8" spans="1:27" ht="19.5" customHeight="1">
      <c r="A8" s="71"/>
      <c r="B8" s="71"/>
      <c r="C8" s="71"/>
      <c r="D8" s="6"/>
      <c r="E8" s="71"/>
      <c r="F8" s="83" t="s">
        <v>10</v>
      </c>
      <c r="G8" s="71"/>
      <c r="H8" s="84"/>
      <c r="I8" s="2"/>
      <c r="J8" s="32"/>
      <c r="K8" s="71"/>
      <c r="L8" s="83" t="s">
        <v>49</v>
      </c>
      <c r="M8" s="71"/>
      <c r="N8" s="84"/>
      <c r="O8" s="2"/>
      <c r="P8" s="26"/>
      <c r="Q8" s="71"/>
      <c r="R8" s="83" t="s">
        <v>50</v>
      </c>
      <c r="S8" s="71"/>
      <c r="T8" s="84"/>
      <c r="U8" s="2"/>
      <c r="V8" s="33"/>
      <c r="W8" s="71"/>
      <c r="X8" s="83" t="s">
        <v>48</v>
      </c>
      <c r="Y8" s="71"/>
      <c r="Z8" s="84"/>
      <c r="AA8" s="2"/>
    </row>
    <row r="9" spans="1:27" ht="19.5" customHeight="1">
      <c r="A9" s="9"/>
      <c r="B9" s="9"/>
      <c r="C9" s="9"/>
      <c r="D9" s="10"/>
      <c r="E9" s="11"/>
      <c r="F9" s="11"/>
      <c r="G9" s="11"/>
      <c r="H9" s="12"/>
      <c r="I9" s="2"/>
      <c r="J9" s="34"/>
      <c r="K9" s="11"/>
      <c r="L9" s="11"/>
      <c r="M9" s="11"/>
      <c r="N9" s="12"/>
      <c r="O9" s="2"/>
      <c r="P9" s="27"/>
      <c r="Q9" s="11"/>
      <c r="R9" s="11"/>
      <c r="S9" s="11"/>
      <c r="T9" s="12"/>
      <c r="U9" s="2"/>
      <c r="V9" s="35"/>
      <c r="W9" s="11"/>
      <c r="X9" s="11"/>
      <c r="Y9" s="11"/>
      <c r="Z9" s="12"/>
      <c r="AA9" s="2"/>
    </row>
    <row r="10" spans="1:27" ht="15" customHeight="1">
      <c r="A10" s="15"/>
      <c r="B10" s="15"/>
      <c r="C10" s="1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1.75" customHeight="1">
      <c r="A11" s="15"/>
      <c r="B11" s="54" t="s">
        <v>13</v>
      </c>
      <c r="C11" s="55" t="s">
        <v>14</v>
      </c>
      <c r="D11" s="74" t="s">
        <v>98</v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90" t="s">
        <v>99</v>
      </c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</row>
    <row r="12" spans="1:27" ht="15" customHeight="1">
      <c r="A12" s="15"/>
      <c r="B12" s="56"/>
      <c r="C12" s="57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 customHeight="1">
      <c r="A13" s="15"/>
      <c r="B13" s="56"/>
      <c r="C13" s="57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" customHeight="1">
      <c r="A14" s="1"/>
      <c r="B14" s="58" t="s">
        <v>5</v>
      </c>
      <c r="C14" s="51" t="s">
        <v>22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" customHeight="1">
      <c r="A15" s="1"/>
      <c r="B15" s="59"/>
      <c r="C15" s="5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" customHeight="1">
      <c r="A16" s="15"/>
      <c r="B16" s="59"/>
      <c r="C16" s="5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" customHeight="1">
      <c r="A17" s="15"/>
      <c r="B17" s="54" t="s">
        <v>7</v>
      </c>
      <c r="C17" s="55" t="s">
        <v>31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" customHeight="1">
      <c r="A18" s="15"/>
      <c r="B18" s="56"/>
      <c r="C18" s="57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" customHeight="1">
      <c r="A19" s="15"/>
      <c r="B19" s="56"/>
      <c r="C19" s="57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" customHeight="1">
      <c r="A20" s="15"/>
      <c r="B20" s="54" t="s">
        <v>8</v>
      </c>
      <c r="C20" s="55" t="s">
        <v>32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" customHeight="1">
      <c r="A21" s="15"/>
      <c r="B21" s="56"/>
      <c r="C21" s="57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" customHeight="1">
      <c r="A22" s="15"/>
      <c r="B22" s="56"/>
      <c r="C22" s="57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" customHeight="1">
      <c r="A23" s="15"/>
      <c r="B23" s="54" t="s">
        <v>15</v>
      </c>
      <c r="C23" s="55" t="s">
        <v>35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" customHeight="1">
      <c r="A24" s="15"/>
      <c r="B24" s="56"/>
      <c r="C24" s="5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" customHeight="1">
      <c r="A25" s="15"/>
      <c r="B25" s="56"/>
      <c r="C25" s="57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" customHeight="1">
      <c r="A26" s="15"/>
      <c r="B26" s="54" t="s">
        <v>18</v>
      </c>
      <c r="C26" s="55" t="s">
        <v>36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" customHeight="1">
      <c r="A27" s="15"/>
      <c r="B27" s="56"/>
      <c r="C27" s="5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" customHeight="1">
      <c r="A28" s="15"/>
      <c r="B28" s="56"/>
      <c r="C28" s="57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" customHeight="1">
      <c r="A29" s="15"/>
      <c r="B29" s="54" t="s">
        <v>16</v>
      </c>
      <c r="C29" s="55" t="s">
        <v>37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21.75" customHeight="1">
      <c r="A30" s="15"/>
      <c r="B30" s="56"/>
      <c r="C30" s="57"/>
      <c r="D30" s="88" t="s">
        <v>100</v>
      </c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</row>
    <row r="31" spans="1:27" ht="15" customHeight="1">
      <c r="A31" s="15"/>
      <c r="B31" s="56"/>
      <c r="C31" s="57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" customHeight="1">
      <c r="A32" s="15"/>
      <c r="B32" s="54" t="s">
        <v>23</v>
      </c>
      <c r="C32" s="55" t="s">
        <v>28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" customHeight="1">
      <c r="A33" s="15"/>
      <c r="B33" s="56"/>
      <c r="C33" s="57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" customHeight="1">
      <c r="A34" s="15"/>
      <c r="B34" s="56"/>
      <c r="C34" s="57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" customHeight="1">
      <c r="A35" s="15"/>
      <c r="B35" s="54" t="s">
        <v>24</v>
      </c>
      <c r="C35" s="55" t="s">
        <v>40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" customHeight="1">
      <c r="A36" s="15"/>
      <c r="B36" s="56"/>
      <c r="C36" s="57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" customHeight="1">
      <c r="A37" s="15"/>
      <c r="B37" s="56"/>
      <c r="C37" s="5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" customHeight="1">
      <c r="A38" s="15"/>
      <c r="B38" s="54" t="s">
        <v>26</v>
      </c>
      <c r="C38" s="55" t="s">
        <v>41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" customHeight="1">
      <c r="A39" s="15"/>
      <c r="B39" s="56"/>
      <c r="C39" s="5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" customHeight="1">
      <c r="A40" s="15"/>
      <c r="B40" s="56"/>
      <c r="C40" s="5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" customHeight="1">
      <c r="A41" s="15"/>
      <c r="B41" s="54" t="s">
        <v>42</v>
      </c>
      <c r="C41" s="55" t="s">
        <v>43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" customHeight="1">
      <c r="A42" s="15"/>
      <c r="B42" s="56"/>
      <c r="C42" s="5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" customHeight="1">
      <c r="A43" s="15"/>
      <c r="B43" s="56"/>
      <c r="C43" s="5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" customHeight="1">
      <c r="A44" s="15"/>
      <c r="B44" s="15"/>
      <c r="C44" s="15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" customHeight="1">
      <c r="A45" s="15"/>
      <c r="B45" s="15"/>
      <c r="C45" s="1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" customHeight="1">
      <c r="A46" s="15"/>
      <c r="B46" s="15"/>
      <c r="C46" s="15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" customHeight="1">
      <c r="A47" s="15"/>
      <c r="B47" s="15"/>
      <c r="C47" s="1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" customHeight="1">
      <c r="A48" s="15"/>
      <c r="B48" s="15"/>
      <c r="C48" s="1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" customHeight="1">
      <c r="A49" s="15"/>
      <c r="B49" s="15"/>
      <c r="C49" s="1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" customHeight="1">
      <c r="A50" s="15"/>
      <c r="B50" s="15"/>
      <c r="C50" s="1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" customHeight="1">
      <c r="A51" s="15"/>
      <c r="B51" s="15"/>
      <c r="C51" s="15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" customHeight="1">
      <c r="A52" s="15"/>
      <c r="B52" s="15"/>
      <c r="C52" s="15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" customHeight="1">
      <c r="A53" s="15"/>
      <c r="B53" s="15"/>
      <c r="C53" s="1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" customHeight="1">
      <c r="A54" s="15"/>
      <c r="B54" s="15"/>
      <c r="C54" s="15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" customHeight="1">
      <c r="A55" s="15"/>
      <c r="B55" s="15"/>
      <c r="C55" s="15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" customHeight="1">
      <c r="A56" s="15"/>
      <c r="B56" s="15"/>
      <c r="C56" s="15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" customHeight="1">
      <c r="A57" s="15"/>
      <c r="B57" s="15"/>
      <c r="C57" s="1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" customHeight="1">
      <c r="A58" s="15"/>
      <c r="B58" s="15"/>
      <c r="C58" s="1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" customHeight="1">
      <c r="A59" s="15"/>
      <c r="B59" s="15"/>
      <c r="C59" s="1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" customHeight="1"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100" spans="1:2" ht="15" customHeight="1">
      <c r="A100" s="28" t="s">
        <v>79</v>
      </c>
      <c r="B100" s="28" t="s">
        <v>47</v>
      </c>
    </row>
    <row r="101" spans="1:2" ht="15" customHeight="1">
      <c r="A101" s="28" t="s">
        <v>48</v>
      </c>
      <c r="B101">
        <v>18</v>
      </c>
    </row>
    <row r="102" spans="1:2" ht="15" customHeight="1">
      <c r="A102" s="28" t="s">
        <v>49</v>
      </c>
      <c r="B102">
        <v>7</v>
      </c>
    </row>
    <row r="103" spans="1:2" ht="15" customHeight="1">
      <c r="A103" s="28" t="s">
        <v>50</v>
      </c>
      <c r="B103">
        <v>6</v>
      </c>
    </row>
    <row r="120" spans="1:2" ht="15" customHeight="1">
      <c r="A120" s="28" t="s">
        <v>58</v>
      </c>
      <c r="B120" s="28" t="s">
        <v>47</v>
      </c>
    </row>
    <row r="121" spans="1:2" ht="15" customHeight="1">
      <c r="A121" s="28" t="s">
        <v>101</v>
      </c>
      <c r="B121">
        <v>13</v>
      </c>
    </row>
    <row r="122" spans="1:2" ht="15" customHeight="1">
      <c r="A122" s="28" t="s">
        <v>102</v>
      </c>
      <c r="B122">
        <v>9</v>
      </c>
    </row>
    <row r="123" spans="1:2" ht="15" customHeight="1">
      <c r="A123" s="28" t="s">
        <v>32</v>
      </c>
      <c r="B123">
        <v>9</v>
      </c>
    </row>
    <row r="140" spans="1:2" ht="15" customHeight="1">
      <c r="A140" s="28" t="s">
        <v>103</v>
      </c>
      <c r="B140" s="28" t="s">
        <v>47</v>
      </c>
    </row>
    <row r="141" spans="1:2" ht="15" customHeight="1">
      <c r="A141" s="28" t="s">
        <v>104</v>
      </c>
      <c r="B141">
        <v>7</v>
      </c>
    </row>
    <row r="142" spans="1:2" ht="15" customHeight="1">
      <c r="A142" s="28" t="s">
        <v>105</v>
      </c>
      <c r="B142">
        <v>7</v>
      </c>
    </row>
    <row r="143" spans="1:2" ht="15" customHeight="1">
      <c r="A143" s="28" t="s">
        <v>106</v>
      </c>
      <c r="B143">
        <v>7</v>
      </c>
    </row>
    <row r="144" spans="1:2" ht="15" customHeight="1">
      <c r="A144" s="28" t="s">
        <v>107</v>
      </c>
      <c r="B144">
        <v>3</v>
      </c>
    </row>
    <row r="145" spans="1:2" ht="15" customHeight="1">
      <c r="A145" s="28" t="s">
        <v>108</v>
      </c>
      <c r="B145">
        <v>7</v>
      </c>
    </row>
  </sheetData>
  <mergeCells count="20">
    <mergeCell ref="O11:AA11"/>
    <mergeCell ref="X1:AA3"/>
    <mergeCell ref="W7:W8"/>
    <mergeCell ref="D11:N11"/>
    <mergeCell ref="D30:AA30"/>
    <mergeCell ref="E7:E8"/>
    <mergeCell ref="K7:K8"/>
    <mergeCell ref="R8:T8"/>
    <mergeCell ref="Q7:Q8"/>
    <mergeCell ref="L7:N7"/>
    <mergeCell ref="X8:Z8"/>
    <mergeCell ref="F7:H7"/>
    <mergeCell ref="R7:T7"/>
    <mergeCell ref="X7:Z7"/>
    <mergeCell ref="A1:C5"/>
    <mergeCell ref="A6:C8"/>
    <mergeCell ref="D1:W3"/>
    <mergeCell ref="D6:AA6"/>
    <mergeCell ref="F8:H8"/>
    <mergeCell ref="L8:N8"/>
  </mergeCells>
  <hyperlinks>
    <hyperlink ref="AA5" r:id="rId1" location="Dashboard!A1" xr:uid="{00000000-0004-0000-0100-000000000000}"/>
    <hyperlink ref="C11" location="Dashboard!A1" display="الرئيسية" xr:uid="{00000000-0004-0000-0100-000001000000}"/>
    <hyperlink ref="C14" location="البلاغات_DB!A1" display="البلاغات" xr:uid="{00000000-0004-0000-0100-000002000000}"/>
    <hyperlink ref="C17" location="الإحالات_DB!A1" display="الإحالات" xr:uid="{00000000-0004-0000-0100-000003000000}"/>
    <hyperlink ref="C20" location="الدوريات_DB!A1" display="الدوريات" xr:uid="{00000000-0004-0000-0100-000004000000}"/>
    <hyperlink ref="C23" location="الدورات_DB!A1" display="الدورات" xr:uid="{00000000-0004-0000-0100-000005000000}"/>
    <hyperlink ref="C26" location="التمارين_DB!A1" display="التمارين" xr:uid="{00000000-0004-0000-0100-000006000000}"/>
    <hyperlink ref="C29" location="الزيارات_DB!A1" display="الزيارات" xr:uid="{00000000-0004-0000-0100-000007000000}"/>
    <hyperlink ref="C32" location="الاحتياجات_DB!A1" display="الاحتياجات" xr:uid="{00000000-0004-0000-0100-000008000000}"/>
    <hyperlink ref="C35" location="القوى_البشرية_DB!A1" display="القوى البشرية" xr:uid="{00000000-0004-0000-0100-000009000000}"/>
    <hyperlink ref="C38" location="المركبات_DB!A1" display="المركبات" xr:uid="{00000000-0004-0000-0100-00000A000000}"/>
    <hyperlink ref="C41" location="Dashboard!A1" display="الإعدادات" xr:uid="{00000000-0004-0000-0100-00000B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23B6D"/>
  </sheetPr>
  <dimension ref="A1:AA123"/>
  <sheetViews>
    <sheetView showGridLines="0" rightToLeft="1" topLeftCell="A18" zoomScaleNormal="100" workbookViewId="0">
      <selection activeCell="C20" sqref="C20"/>
    </sheetView>
  </sheetViews>
  <sheetFormatPr defaultColWidth="8.6640625" defaultRowHeight="14.4"/>
  <cols>
    <col min="1" max="1" width="3" customWidth="1"/>
    <col min="2" max="2" width="4" customWidth="1"/>
    <col min="3" max="3" width="14" customWidth="1"/>
    <col min="4" max="29" width="7" customWidth="1"/>
  </cols>
  <sheetData>
    <row r="1" spans="1:27" ht="24.75" customHeight="1">
      <c r="A1" s="72" t="s">
        <v>0</v>
      </c>
      <c r="B1" s="71"/>
      <c r="C1" s="71"/>
      <c r="D1" s="75" t="s">
        <v>109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85" t="s">
        <v>2</v>
      </c>
      <c r="Y1" s="71"/>
      <c r="Z1" s="71"/>
      <c r="AA1" s="71"/>
    </row>
    <row r="2" spans="1:27" ht="24.75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 spans="1:27" ht="19.5" customHeigh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</row>
    <row r="4" spans="1:27" ht="3.75" customHeight="1">
      <c r="A4" s="71"/>
      <c r="B4" s="71"/>
      <c r="C4" s="7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customHeight="1">
      <c r="A5" s="71"/>
      <c r="B5" s="71"/>
      <c r="C5" s="7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9" t="s">
        <v>90</v>
      </c>
    </row>
    <row r="6" spans="1:27" ht="21.75" customHeight="1">
      <c r="A6" s="73" t="s">
        <v>3</v>
      </c>
      <c r="B6" s="71"/>
      <c r="C6" s="71"/>
      <c r="D6" s="97" t="s">
        <v>110</v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 spans="1:27" ht="19.5" customHeight="1">
      <c r="A7" s="71"/>
      <c r="B7" s="71"/>
      <c r="C7" s="71"/>
      <c r="D7" s="4"/>
      <c r="E7" s="70" t="s">
        <v>7</v>
      </c>
      <c r="F7" s="82" t="s">
        <v>6</v>
      </c>
      <c r="G7" s="78"/>
      <c r="H7" s="79"/>
      <c r="I7" s="2"/>
      <c r="J7" s="17"/>
      <c r="K7" s="70" t="s">
        <v>111</v>
      </c>
      <c r="L7" s="81" t="s">
        <v>112</v>
      </c>
      <c r="M7" s="78"/>
      <c r="N7" s="79"/>
      <c r="O7" s="2"/>
      <c r="P7" s="18"/>
      <c r="Q7" s="70" t="s">
        <v>113</v>
      </c>
      <c r="R7" s="89" t="s">
        <v>52</v>
      </c>
      <c r="S7" s="78"/>
      <c r="T7" s="79"/>
      <c r="U7" s="2"/>
      <c r="V7" s="25"/>
      <c r="W7" s="70" t="s">
        <v>114</v>
      </c>
      <c r="X7" s="87" t="s">
        <v>115</v>
      </c>
      <c r="Y7" s="78"/>
      <c r="Z7" s="79"/>
      <c r="AA7" s="2"/>
    </row>
    <row r="8" spans="1:27" ht="19.5" customHeight="1">
      <c r="A8" s="71"/>
      <c r="B8" s="71"/>
      <c r="C8" s="71"/>
      <c r="D8" s="7"/>
      <c r="E8" s="71"/>
      <c r="F8" s="83" t="s">
        <v>11</v>
      </c>
      <c r="G8" s="71"/>
      <c r="H8" s="84"/>
      <c r="I8" s="2"/>
      <c r="J8" s="20"/>
      <c r="K8" s="71"/>
      <c r="L8" s="83" t="s">
        <v>116</v>
      </c>
      <c r="M8" s="71"/>
      <c r="N8" s="84"/>
      <c r="O8" s="2"/>
      <c r="P8" s="21"/>
      <c r="Q8" s="71"/>
      <c r="R8" s="83" t="s">
        <v>117</v>
      </c>
      <c r="S8" s="71"/>
      <c r="T8" s="84"/>
      <c r="U8" s="2"/>
      <c r="V8" s="26"/>
      <c r="W8" s="71"/>
      <c r="X8" s="83" t="s">
        <v>118</v>
      </c>
      <c r="Y8" s="71"/>
      <c r="Z8" s="84"/>
      <c r="AA8" s="2"/>
    </row>
    <row r="9" spans="1:27" ht="19.5" customHeight="1">
      <c r="A9" s="9"/>
      <c r="B9" s="9"/>
      <c r="C9" s="9"/>
      <c r="D9" s="13"/>
      <c r="E9" s="11"/>
      <c r="F9" s="11"/>
      <c r="G9" s="11"/>
      <c r="H9" s="12"/>
      <c r="I9" s="2"/>
      <c r="J9" s="23"/>
      <c r="K9" s="11"/>
      <c r="L9" s="11"/>
      <c r="M9" s="11"/>
      <c r="N9" s="12"/>
      <c r="O9" s="2"/>
      <c r="P9" s="24"/>
      <c r="Q9" s="11"/>
      <c r="R9" s="11"/>
      <c r="S9" s="11"/>
      <c r="T9" s="12"/>
      <c r="U9" s="2"/>
      <c r="V9" s="27"/>
      <c r="W9" s="11"/>
      <c r="X9" s="11"/>
      <c r="Y9" s="11"/>
      <c r="Z9" s="12"/>
      <c r="AA9" s="2"/>
    </row>
    <row r="10" spans="1:27" ht="15" customHeight="1">
      <c r="A10" s="15"/>
      <c r="B10" s="15"/>
      <c r="C10" s="1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1.75" customHeight="1">
      <c r="A11" s="15"/>
      <c r="B11" s="54" t="s">
        <v>13</v>
      </c>
      <c r="C11" s="55" t="s">
        <v>14</v>
      </c>
      <c r="D11" s="90" t="s">
        <v>119</v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88" t="s">
        <v>120</v>
      </c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</row>
    <row r="12" spans="1:27" ht="15" customHeight="1">
      <c r="A12" s="15"/>
      <c r="B12" s="56"/>
      <c r="C12" s="57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 customHeight="1">
      <c r="A13" s="15"/>
      <c r="B13" s="56"/>
      <c r="C13" s="57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" customHeight="1">
      <c r="A14" s="15"/>
      <c r="B14" s="54" t="s">
        <v>5</v>
      </c>
      <c r="C14" s="55" t="s">
        <v>22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" customHeight="1">
      <c r="A15" s="15"/>
      <c r="B15" s="56"/>
      <c r="C15" s="5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" customHeight="1">
      <c r="A16" s="15"/>
      <c r="B16" s="56"/>
      <c r="C16" s="57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" customHeight="1">
      <c r="A17" s="1"/>
      <c r="B17" s="60" t="s">
        <v>7</v>
      </c>
      <c r="C17" s="51" t="s">
        <v>31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" customHeight="1">
      <c r="A18" s="1"/>
      <c r="B18" s="61"/>
      <c r="C18" s="5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" customHeight="1">
      <c r="A19" s="15"/>
      <c r="B19" s="61"/>
      <c r="C19" s="5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" customHeight="1">
      <c r="A20" s="15"/>
      <c r="B20" s="54" t="s">
        <v>8</v>
      </c>
      <c r="C20" s="55" t="s">
        <v>32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" customHeight="1">
      <c r="A21" s="15"/>
      <c r="B21" s="56"/>
      <c r="C21" s="57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" customHeight="1">
      <c r="A22" s="15"/>
      <c r="B22" s="56"/>
      <c r="C22" s="57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" customHeight="1">
      <c r="A23" s="15"/>
      <c r="B23" s="54" t="s">
        <v>15</v>
      </c>
      <c r="C23" s="55" t="s">
        <v>35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" customHeight="1">
      <c r="A24" s="15"/>
      <c r="B24" s="56"/>
      <c r="C24" s="5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" customHeight="1">
      <c r="A25" s="15"/>
      <c r="B25" s="56"/>
      <c r="C25" s="57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" customHeight="1">
      <c r="A26" s="15"/>
      <c r="B26" s="54" t="s">
        <v>18</v>
      </c>
      <c r="C26" s="55" t="s">
        <v>36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" customHeight="1">
      <c r="A27" s="15"/>
      <c r="B27" s="56"/>
      <c r="C27" s="5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" customHeight="1">
      <c r="A28" s="15"/>
      <c r="B28" s="56"/>
      <c r="C28" s="57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" customHeight="1">
      <c r="A29" s="15"/>
      <c r="B29" s="54" t="s">
        <v>16</v>
      </c>
      <c r="C29" s="55" t="s">
        <v>37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" customHeight="1">
      <c r="A30" s="15"/>
      <c r="B30" s="56"/>
      <c r="C30" s="57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" customHeight="1">
      <c r="A31" s="15"/>
      <c r="B31" s="56"/>
      <c r="C31" s="57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" customHeight="1">
      <c r="A32" s="15"/>
      <c r="B32" s="54" t="s">
        <v>23</v>
      </c>
      <c r="C32" s="55" t="s">
        <v>28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" customHeight="1">
      <c r="A33" s="15"/>
      <c r="B33" s="56"/>
      <c r="C33" s="57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" customHeight="1">
      <c r="A34" s="15"/>
      <c r="B34" s="56"/>
      <c r="C34" s="57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" customHeight="1">
      <c r="A35" s="15"/>
      <c r="B35" s="54" t="s">
        <v>24</v>
      </c>
      <c r="C35" s="55" t="s">
        <v>40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" customHeight="1">
      <c r="A36" s="15"/>
      <c r="B36" s="56"/>
      <c r="C36" s="57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" customHeight="1">
      <c r="A37" s="15"/>
      <c r="B37" s="56"/>
      <c r="C37" s="5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" customHeight="1">
      <c r="A38" s="15"/>
      <c r="B38" s="54" t="s">
        <v>26</v>
      </c>
      <c r="C38" s="55" t="s">
        <v>41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" customHeight="1">
      <c r="A39" s="15"/>
      <c r="B39" s="56"/>
      <c r="C39" s="5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" customHeight="1">
      <c r="A40" s="15"/>
      <c r="B40" s="56"/>
      <c r="C40" s="5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" customHeight="1">
      <c r="A41" s="15"/>
      <c r="B41" s="54" t="s">
        <v>42</v>
      </c>
      <c r="C41" s="55" t="s">
        <v>43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" customHeight="1">
      <c r="A42" s="15"/>
      <c r="B42" s="56"/>
      <c r="C42" s="5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" customHeight="1">
      <c r="A43" s="15"/>
      <c r="B43" s="56"/>
      <c r="C43" s="5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" customHeight="1">
      <c r="A44" s="15"/>
      <c r="B44" s="15"/>
      <c r="C44" s="15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" customHeight="1">
      <c r="A45" s="15"/>
      <c r="B45" s="15"/>
      <c r="C45" s="1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" customHeight="1">
      <c r="A46" s="15"/>
      <c r="B46" s="15"/>
      <c r="C46" s="15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" customHeight="1">
      <c r="A47" s="15"/>
      <c r="B47" s="15"/>
      <c r="C47" s="1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" customHeight="1">
      <c r="A48" s="15"/>
      <c r="B48" s="15"/>
      <c r="C48" s="1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" customHeight="1">
      <c r="A49" s="15"/>
      <c r="B49" s="15"/>
      <c r="C49" s="1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" customHeight="1">
      <c r="A50" s="15"/>
      <c r="B50" s="15"/>
      <c r="C50" s="1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" customHeight="1">
      <c r="A51" s="15"/>
      <c r="B51" s="15"/>
      <c r="C51" s="15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" customHeight="1">
      <c r="A52" s="15"/>
      <c r="B52" s="15"/>
      <c r="C52" s="15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" customHeight="1">
      <c r="A53" s="15"/>
      <c r="B53" s="15"/>
      <c r="C53" s="1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" customHeight="1">
      <c r="A54" s="15"/>
      <c r="B54" s="15"/>
      <c r="C54" s="15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" customHeight="1">
      <c r="A55" s="15"/>
      <c r="B55" s="15"/>
      <c r="C55" s="15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" customHeight="1">
      <c r="A56" s="15"/>
      <c r="B56" s="15"/>
      <c r="C56" s="15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" customHeight="1">
      <c r="A57" s="15"/>
      <c r="B57" s="15"/>
      <c r="C57" s="1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" customHeight="1">
      <c r="A58" s="15"/>
      <c r="B58" s="15"/>
      <c r="C58" s="1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" customHeight="1">
      <c r="A59" s="15"/>
      <c r="B59" s="15"/>
      <c r="C59" s="1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" customHeight="1"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100" spans="1:2" ht="15" customHeight="1">
      <c r="A100" s="28" t="s">
        <v>51</v>
      </c>
      <c r="B100" s="28" t="s">
        <v>47</v>
      </c>
    </row>
    <row r="101" spans="1:2" ht="15" customHeight="1">
      <c r="A101" s="28" t="s">
        <v>52</v>
      </c>
      <c r="B101">
        <v>5</v>
      </c>
    </row>
    <row r="102" spans="1:2" ht="15" customHeight="1">
      <c r="A102" s="28" t="s">
        <v>53</v>
      </c>
      <c r="B102">
        <v>5</v>
      </c>
    </row>
    <row r="103" spans="1:2" ht="15" customHeight="1">
      <c r="A103" s="28" t="s">
        <v>54</v>
      </c>
      <c r="B103">
        <v>5</v>
      </c>
    </row>
    <row r="104" spans="1:2" ht="15" customHeight="1">
      <c r="A104" s="28" t="s">
        <v>55</v>
      </c>
      <c r="B104">
        <v>4</v>
      </c>
    </row>
    <row r="105" spans="1:2" ht="15" customHeight="1">
      <c r="A105" s="28" t="s">
        <v>56</v>
      </c>
      <c r="B105">
        <v>3</v>
      </c>
    </row>
    <row r="106" spans="1:2" ht="15" customHeight="1">
      <c r="A106" s="28" t="s">
        <v>57</v>
      </c>
      <c r="B106">
        <v>3</v>
      </c>
    </row>
    <row r="107" spans="1:2" ht="15" customHeight="1">
      <c r="A107" s="28" t="s">
        <v>121</v>
      </c>
      <c r="B107">
        <v>3</v>
      </c>
    </row>
    <row r="108" spans="1:2" ht="15" customHeight="1">
      <c r="A108" s="28" t="s">
        <v>122</v>
      </c>
      <c r="B108">
        <v>3</v>
      </c>
    </row>
    <row r="120" spans="1:2" ht="15" customHeight="1">
      <c r="A120" s="28" t="s">
        <v>58</v>
      </c>
      <c r="B120" s="28" t="s">
        <v>47</v>
      </c>
    </row>
    <row r="121" spans="1:2" ht="15" customHeight="1">
      <c r="A121" s="28" t="s">
        <v>32</v>
      </c>
      <c r="B121">
        <v>11</v>
      </c>
    </row>
    <row r="122" spans="1:2" ht="15" customHeight="1">
      <c r="A122" s="28" t="s">
        <v>101</v>
      </c>
      <c r="B122">
        <v>10</v>
      </c>
    </row>
    <row r="123" spans="1:2" ht="15" customHeight="1">
      <c r="A123" s="28" t="s">
        <v>102</v>
      </c>
      <c r="B123">
        <v>10</v>
      </c>
    </row>
  </sheetData>
  <mergeCells count="19">
    <mergeCell ref="O11:AA11"/>
    <mergeCell ref="X1:AA3"/>
    <mergeCell ref="W7:W8"/>
    <mergeCell ref="D11:N11"/>
    <mergeCell ref="E7:E8"/>
    <mergeCell ref="K7:K8"/>
    <mergeCell ref="R8:T8"/>
    <mergeCell ref="Q7:Q8"/>
    <mergeCell ref="L7:N7"/>
    <mergeCell ref="X8:Z8"/>
    <mergeCell ref="F7:H7"/>
    <mergeCell ref="R7:T7"/>
    <mergeCell ref="X7:Z7"/>
    <mergeCell ref="A1:C5"/>
    <mergeCell ref="A6:C8"/>
    <mergeCell ref="D1:W3"/>
    <mergeCell ref="D6:AA6"/>
    <mergeCell ref="F8:H8"/>
    <mergeCell ref="L8:N8"/>
  </mergeCells>
  <hyperlinks>
    <hyperlink ref="AA5" r:id="rId1" location="Dashboard!A1" xr:uid="{00000000-0004-0000-0200-000000000000}"/>
    <hyperlink ref="C11" location="Dashboard!A1" display="الرئيسية" xr:uid="{00000000-0004-0000-0200-000001000000}"/>
    <hyperlink ref="C14" location="البلاغات_DB!A1" display="البلاغات" xr:uid="{00000000-0004-0000-0200-000002000000}"/>
    <hyperlink ref="C17" location="الإحالات_DB!A1" display="الإحالات" xr:uid="{00000000-0004-0000-0200-000003000000}"/>
    <hyperlink ref="C20" location="الدوريات_DB!A1" display="الدوريات" xr:uid="{00000000-0004-0000-0200-000004000000}"/>
    <hyperlink ref="C23" location="الدورات_DB!A1" display="الدورات" xr:uid="{00000000-0004-0000-0200-000005000000}"/>
    <hyperlink ref="C26" location="التمارين_DB!A1" display="التمارين" xr:uid="{00000000-0004-0000-0200-000006000000}"/>
    <hyperlink ref="C29" location="الزيارات_DB!A1" display="الزيارات" xr:uid="{00000000-0004-0000-0200-000007000000}"/>
    <hyperlink ref="C32" location="الاحتياجات_DB!A1" display="الاحتياجات" xr:uid="{00000000-0004-0000-0200-000008000000}"/>
    <hyperlink ref="C35" location="القوى_البشرية_DB!A1" display="القوى البشرية" xr:uid="{00000000-0004-0000-0200-000009000000}"/>
    <hyperlink ref="C38" location="المركبات_DB!A1" display="المركبات" xr:uid="{00000000-0004-0000-0200-00000A000000}"/>
    <hyperlink ref="C41" location="Dashboard!A1" display="الإعدادات" xr:uid="{00000000-0004-0000-0200-00000B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A2342"/>
  </sheetPr>
  <dimension ref="A1:AA123"/>
  <sheetViews>
    <sheetView showGridLines="0" rightToLeft="1" topLeftCell="A16" zoomScaleNormal="100" workbookViewId="0">
      <selection activeCell="C23" sqref="C23"/>
    </sheetView>
  </sheetViews>
  <sheetFormatPr defaultColWidth="8.6640625" defaultRowHeight="14.4"/>
  <cols>
    <col min="1" max="1" width="3" customWidth="1"/>
    <col min="2" max="2" width="4" customWidth="1"/>
    <col min="3" max="3" width="14" customWidth="1"/>
    <col min="4" max="4" width="13.6640625" bestFit="1" customWidth="1"/>
    <col min="5" max="5" width="9.21875" bestFit="1" customWidth="1"/>
    <col min="6" max="29" width="7" customWidth="1"/>
  </cols>
  <sheetData>
    <row r="1" spans="1:27" ht="24.75" customHeight="1">
      <c r="A1" s="72" t="s">
        <v>0</v>
      </c>
      <c r="B1" s="71"/>
      <c r="C1" s="71"/>
      <c r="D1" s="75" t="s">
        <v>123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85" t="s">
        <v>2</v>
      </c>
      <c r="Y1" s="71"/>
      <c r="Z1" s="71"/>
      <c r="AA1" s="71"/>
    </row>
    <row r="2" spans="1:27" ht="24.75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 spans="1:27" ht="19.5" customHeigh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</row>
    <row r="4" spans="1:27" ht="3.75" customHeight="1">
      <c r="A4" s="71"/>
      <c r="B4" s="71"/>
      <c r="C4" s="7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customHeight="1">
      <c r="A5" s="71"/>
      <c r="B5" s="71"/>
      <c r="C5" s="7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9" t="s">
        <v>90</v>
      </c>
    </row>
    <row r="6" spans="1:27" ht="21.75" customHeight="1">
      <c r="A6" s="73" t="s">
        <v>3</v>
      </c>
      <c r="B6" s="71"/>
      <c r="C6" s="71"/>
      <c r="D6" s="98" t="s">
        <v>124</v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 spans="1:27" ht="19.5" customHeight="1">
      <c r="A7" s="71"/>
      <c r="B7" s="71"/>
      <c r="C7" s="71"/>
      <c r="D7" s="5"/>
      <c r="E7" s="70" t="s">
        <v>8</v>
      </c>
      <c r="F7" s="91" t="s">
        <v>9</v>
      </c>
      <c r="G7" s="78"/>
      <c r="H7" s="79"/>
      <c r="I7" s="2"/>
      <c r="J7" s="31"/>
      <c r="K7" s="70" t="s">
        <v>125</v>
      </c>
      <c r="L7" s="96" t="s">
        <v>126</v>
      </c>
      <c r="M7" s="78"/>
      <c r="N7" s="79"/>
      <c r="O7" s="2"/>
      <c r="P7" s="25"/>
      <c r="Q7" s="70" t="s">
        <v>127</v>
      </c>
      <c r="R7" s="87" t="s">
        <v>128</v>
      </c>
      <c r="S7" s="78"/>
      <c r="T7" s="79"/>
      <c r="U7" s="2"/>
      <c r="V7" s="36"/>
      <c r="W7" s="70" t="s">
        <v>129</v>
      </c>
      <c r="X7" s="100" t="s">
        <v>130</v>
      </c>
      <c r="Y7" s="78"/>
      <c r="Z7" s="79"/>
      <c r="AA7" s="2"/>
    </row>
    <row r="8" spans="1:27" ht="19.5" customHeight="1">
      <c r="A8" s="71"/>
      <c r="B8" s="71"/>
      <c r="C8" s="71"/>
      <c r="D8" s="8"/>
      <c r="E8" s="71"/>
      <c r="F8" s="83" t="s">
        <v>12</v>
      </c>
      <c r="G8" s="71"/>
      <c r="H8" s="84"/>
      <c r="I8" s="2"/>
      <c r="J8" s="33"/>
      <c r="K8" s="71"/>
      <c r="L8" s="83" t="s">
        <v>131</v>
      </c>
      <c r="M8" s="71"/>
      <c r="N8" s="84"/>
      <c r="O8" s="2"/>
      <c r="P8" s="26"/>
      <c r="Q8" s="71"/>
      <c r="R8" s="83" t="s">
        <v>132</v>
      </c>
      <c r="S8" s="71"/>
      <c r="T8" s="84"/>
      <c r="U8" s="2"/>
      <c r="V8" s="37"/>
      <c r="W8" s="71"/>
      <c r="X8" s="83" t="s">
        <v>133</v>
      </c>
      <c r="Y8" s="71"/>
      <c r="Z8" s="84"/>
      <c r="AA8" s="2"/>
    </row>
    <row r="9" spans="1:27" ht="19.5" customHeight="1">
      <c r="A9" s="9"/>
      <c r="B9" s="9"/>
      <c r="C9" s="9"/>
      <c r="D9" s="14"/>
      <c r="E9" s="11"/>
      <c r="F9" s="11"/>
      <c r="G9" s="11"/>
      <c r="H9" s="12"/>
      <c r="I9" s="2"/>
      <c r="J9" s="35"/>
      <c r="K9" s="11"/>
      <c r="L9" s="11"/>
      <c r="M9" s="11"/>
      <c r="N9" s="12"/>
      <c r="O9" s="2"/>
      <c r="P9" s="27"/>
      <c r="Q9" s="11"/>
      <c r="R9" s="11"/>
      <c r="S9" s="11"/>
      <c r="T9" s="12"/>
      <c r="U9" s="2"/>
      <c r="V9" s="38"/>
      <c r="W9" s="11"/>
      <c r="X9" s="11"/>
      <c r="Y9" s="11"/>
      <c r="Z9" s="12"/>
      <c r="AA9" s="2"/>
    </row>
    <row r="10" spans="1:27" ht="15" customHeight="1">
      <c r="A10" s="15"/>
      <c r="B10" s="15"/>
      <c r="C10" s="1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1.75" customHeight="1">
      <c r="A11" s="15"/>
      <c r="B11" s="54" t="s">
        <v>13</v>
      </c>
      <c r="C11" s="55" t="s">
        <v>14</v>
      </c>
      <c r="D11" s="88" t="s">
        <v>134</v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99" t="s">
        <v>135</v>
      </c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</row>
    <row r="12" spans="1:27" ht="15" customHeight="1">
      <c r="A12" s="15"/>
      <c r="B12" s="56"/>
      <c r="C12" s="57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 customHeight="1">
      <c r="A13" s="15"/>
      <c r="B13" s="56"/>
      <c r="C13" s="57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" customHeight="1">
      <c r="A14" s="15"/>
      <c r="B14" s="54" t="s">
        <v>5</v>
      </c>
      <c r="C14" s="55" t="s">
        <v>22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" customHeight="1">
      <c r="A15" s="15"/>
      <c r="B15" s="56"/>
      <c r="C15" s="5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" customHeight="1">
      <c r="A16" s="15"/>
      <c r="B16" s="56"/>
      <c r="C16" s="57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" customHeight="1">
      <c r="A17" s="15"/>
      <c r="B17" s="54" t="s">
        <v>7</v>
      </c>
      <c r="C17" s="55" t="s">
        <v>31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" customHeight="1">
      <c r="A18" s="15"/>
      <c r="B18" s="56"/>
      <c r="C18" s="57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" customHeight="1">
      <c r="A19" s="15"/>
      <c r="B19" s="56"/>
      <c r="C19" s="57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" customHeight="1">
      <c r="A20" s="1"/>
      <c r="B20" s="62" t="s">
        <v>8</v>
      </c>
      <c r="C20" s="51" t="s">
        <v>32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" customHeight="1">
      <c r="A21" s="1"/>
      <c r="B21" s="63"/>
      <c r="C21" s="5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" customHeight="1">
      <c r="A22" s="15"/>
      <c r="B22" s="63"/>
      <c r="C22" s="5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" customHeight="1">
      <c r="A23" s="15"/>
      <c r="B23" s="54" t="s">
        <v>15</v>
      </c>
      <c r="C23" s="55" t="s">
        <v>35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" customHeight="1">
      <c r="A24" s="15"/>
      <c r="B24" s="56"/>
      <c r="C24" s="5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" customHeight="1">
      <c r="A25" s="15"/>
      <c r="B25" s="56"/>
      <c r="C25" s="57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" customHeight="1">
      <c r="A26" s="15"/>
      <c r="B26" s="54" t="s">
        <v>18</v>
      </c>
      <c r="C26" s="55" t="s">
        <v>36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" customHeight="1">
      <c r="A27" s="15"/>
      <c r="B27" s="56"/>
      <c r="C27" s="5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" customHeight="1">
      <c r="A28" s="15"/>
      <c r="B28" s="56"/>
      <c r="C28" s="57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" customHeight="1">
      <c r="A29" s="15"/>
      <c r="B29" s="54" t="s">
        <v>16</v>
      </c>
      <c r="C29" s="55" t="s">
        <v>37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21.75" customHeight="1">
      <c r="A30" s="15"/>
      <c r="B30" s="56"/>
      <c r="C30" s="57"/>
      <c r="D30" s="88" t="s">
        <v>136</v>
      </c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</row>
    <row r="31" spans="1:27" ht="19.5" customHeight="1">
      <c r="A31" s="15"/>
      <c r="B31" s="56"/>
      <c r="C31" s="57"/>
      <c r="D31" s="39" t="s">
        <v>58</v>
      </c>
      <c r="E31" s="39" t="s">
        <v>103</v>
      </c>
      <c r="F31" s="39" t="s">
        <v>59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8" customHeight="1">
      <c r="A32" s="15"/>
      <c r="B32" s="54" t="s">
        <v>23</v>
      </c>
      <c r="C32" s="55" t="s">
        <v>28</v>
      </c>
      <c r="D32" s="40" t="s">
        <v>60</v>
      </c>
      <c r="E32" s="40" t="s">
        <v>104</v>
      </c>
      <c r="F32" s="40">
        <v>19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8" customHeight="1">
      <c r="A33" s="15"/>
      <c r="B33" s="56"/>
      <c r="C33" s="57"/>
      <c r="D33" s="41" t="s">
        <v>60</v>
      </c>
      <c r="E33" s="41" t="s">
        <v>105</v>
      </c>
      <c r="F33" s="41">
        <v>23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8" customHeight="1">
      <c r="A34" s="15"/>
      <c r="B34" s="56"/>
      <c r="C34" s="57"/>
      <c r="D34" s="40" t="s">
        <v>60</v>
      </c>
      <c r="E34" s="40" t="s">
        <v>106</v>
      </c>
      <c r="F34" s="40">
        <v>42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8" customHeight="1">
      <c r="A35" s="15"/>
      <c r="B35" s="54" t="s">
        <v>24</v>
      </c>
      <c r="C35" s="55" t="s">
        <v>40</v>
      </c>
      <c r="D35" s="41" t="s">
        <v>60</v>
      </c>
      <c r="E35" s="41" t="s">
        <v>108</v>
      </c>
      <c r="F35" s="41">
        <v>42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8" customHeight="1">
      <c r="A36" s="15"/>
      <c r="B36" s="56"/>
      <c r="C36" s="57"/>
      <c r="D36" s="40" t="s">
        <v>61</v>
      </c>
      <c r="E36" s="40" t="s">
        <v>104</v>
      </c>
      <c r="F36" s="40">
        <v>60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8" customHeight="1">
      <c r="A37" s="15"/>
      <c r="B37" s="56"/>
      <c r="C37" s="57"/>
      <c r="D37" s="41" t="s">
        <v>61</v>
      </c>
      <c r="E37" s="41" t="s">
        <v>105</v>
      </c>
      <c r="F37" s="41">
        <v>33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8" customHeight="1">
      <c r="A38" s="15"/>
      <c r="B38" s="54" t="s">
        <v>26</v>
      </c>
      <c r="C38" s="55" t="s">
        <v>41</v>
      </c>
      <c r="D38" s="40" t="s">
        <v>61</v>
      </c>
      <c r="E38" s="40" t="s">
        <v>106</v>
      </c>
      <c r="F38" s="40">
        <v>27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8" customHeight="1">
      <c r="A39" s="15"/>
      <c r="B39" s="56"/>
      <c r="C39" s="57"/>
      <c r="D39" s="41" t="s">
        <v>61</v>
      </c>
      <c r="E39" s="41" t="s">
        <v>108</v>
      </c>
      <c r="F39" s="41">
        <v>60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8" customHeight="1">
      <c r="A40" s="15"/>
      <c r="B40" s="56"/>
      <c r="C40" s="57"/>
      <c r="D40" s="40" t="s">
        <v>62</v>
      </c>
      <c r="E40" s="40" t="s">
        <v>104</v>
      </c>
      <c r="F40" s="40">
        <v>51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8" customHeight="1">
      <c r="A41" s="15"/>
      <c r="B41" s="54" t="s">
        <v>42</v>
      </c>
      <c r="C41" s="55" t="s">
        <v>43</v>
      </c>
      <c r="D41" s="41" t="s">
        <v>62</v>
      </c>
      <c r="E41" s="41" t="s">
        <v>105</v>
      </c>
      <c r="F41" s="41">
        <v>51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8" customHeight="1">
      <c r="A42" s="15"/>
      <c r="B42" s="56"/>
      <c r="C42" s="57"/>
      <c r="D42" s="40" t="s">
        <v>62</v>
      </c>
      <c r="E42" s="40" t="s">
        <v>106</v>
      </c>
      <c r="F42" s="40">
        <v>44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8" customHeight="1">
      <c r="A43" s="15"/>
      <c r="B43" s="56"/>
      <c r="C43" s="57"/>
      <c r="D43" s="41" t="s">
        <v>62</v>
      </c>
      <c r="E43" s="41" t="s">
        <v>107</v>
      </c>
      <c r="F43" s="41">
        <v>22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8" customHeight="1">
      <c r="A44" s="15"/>
      <c r="B44" s="15"/>
      <c r="C44" s="15"/>
      <c r="D44" s="40" t="s">
        <v>62</v>
      </c>
      <c r="E44" s="40" t="s">
        <v>108</v>
      </c>
      <c r="F44" s="40">
        <v>51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8" customHeight="1">
      <c r="A45" s="15"/>
      <c r="B45" s="15"/>
      <c r="C45" s="15"/>
      <c r="D45" s="41" t="s">
        <v>63</v>
      </c>
      <c r="E45" s="41" t="s">
        <v>104</v>
      </c>
      <c r="F45" s="41">
        <v>55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8" customHeight="1">
      <c r="A46" s="15"/>
      <c r="B46" s="15"/>
      <c r="C46" s="15"/>
      <c r="D46" s="40" t="s">
        <v>63</v>
      </c>
      <c r="E46" s="40" t="s">
        <v>105</v>
      </c>
      <c r="F46" s="40">
        <v>91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8" customHeight="1">
      <c r="A47" s="15"/>
      <c r="B47" s="15"/>
      <c r="C47" s="15"/>
      <c r="D47" s="41" t="s">
        <v>63</v>
      </c>
      <c r="E47" s="41" t="s">
        <v>106</v>
      </c>
      <c r="F47" s="41">
        <v>66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8" customHeight="1">
      <c r="A48" s="15"/>
      <c r="B48" s="15"/>
      <c r="C48" s="15"/>
      <c r="D48" s="40" t="s">
        <v>63</v>
      </c>
      <c r="E48" s="40" t="s">
        <v>107</v>
      </c>
      <c r="F48" s="40">
        <v>66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8" customHeight="1">
      <c r="A49" s="15"/>
      <c r="B49" s="15"/>
      <c r="C49" s="15"/>
      <c r="D49" s="41" t="s">
        <v>63</v>
      </c>
      <c r="E49" s="41" t="s">
        <v>108</v>
      </c>
      <c r="F49" s="41">
        <v>25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" customHeight="1">
      <c r="A50" s="15"/>
      <c r="B50" s="15"/>
      <c r="C50" s="1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" customHeight="1">
      <c r="A51" s="15"/>
      <c r="B51" s="15"/>
      <c r="C51" s="15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" customHeight="1">
      <c r="A52" s="15"/>
      <c r="B52" s="15"/>
      <c r="C52" s="15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" customHeight="1">
      <c r="A53" s="15"/>
      <c r="B53" s="15"/>
      <c r="C53" s="1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" customHeight="1">
      <c r="A54" s="15"/>
      <c r="B54" s="15"/>
      <c r="C54" s="15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" customHeight="1">
      <c r="A55" s="15"/>
      <c r="B55" s="15"/>
      <c r="C55" s="15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" customHeight="1">
      <c r="A56" s="15"/>
      <c r="B56" s="15"/>
      <c r="C56" s="15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" customHeight="1">
      <c r="A57" s="15"/>
      <c r="B57" s="15"/>
      <c r="C57" s="1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" customHeight="1">
      <c r="A58" s="15"/>
      <c r="B58" s="15"/>
      <c r="C58" s="1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" customHeight="1">
      <c r="A59" s="15"/>
      <c r="B59" s="15"/>
      <c r="C59" s="1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" customHeight="1"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100" spans="1:2" ht="15" customHeight="1">
      <c r="A100" s="28" t="s">
        <v>58</v>
      </c>
      <c r="B100" s="28" t="s">
        <v>59</v>
      </c>
    </row>
    <row r="101" spans="1:2" ht="15" customHeight="1">
      <c r="A101" s="28" t="s">
        <v>60</v>
      </c>
      <c r="B101">
        <v>126</v>
      </c>
    </row>
    <row r="102" spans="1:2" ht="15" customHeight="1">
      <c r="A102" s="28" t="s">
        <v>61</v>
      </c>
      <c r="B102">
        <v>180</v>
      </c>
    </row>
    <row r="103" spans="1:2" ht="15" customHeight="1">
      <c r="A103" s="28" t="s">
        <v>62</v>
      </c>
      <c r="B103">
        <v>219</v>
      </c>
    </row>
    <row r="104" spans="1:2" ht="15" customHeight="1">
      <c r="A104" s="28" t="s">
        <v>63</v>
      </c>
      <c r="B104">
        <v>303</v>
      </c>
    </row>
    <row r="120" spans="1:2" ht="15" customHeight="1">
      <c r="A120" s="28" t="s">
        <v>137</v>
      </c>
      <c r="B120" s="28" t="s">
        <v>47</v>
      </c>
    </row>
    <row r="121" spans="1:2" ht="15" customHeight="1">
      <c r="A121" s="28" t="s">
        <v>138</v>
      </c>
      <c r="B121">
        <v>336</v>
      </c>
    </row>
    <row r="122" spans="1:2" ht="15" customHeight="1">
      <c r="A122" s="28" t="s">
        <v>139</v>
      </c>
      <c r="B122">
        <v>271</v>
      </c>
    </row>
    <row r="123" spans="1:2" ht="15" customHeight="1">
      <c r="A123" s="28" t="s">
        <v>140</v>
      </c>
      <c r="B123">
        <v>221</v>
      </c>
    </row>
  </sheetData>
  <mergeCells count="20">
    <mergeCell ref="O11:AA11"/>
    <mergeCell ref="X1:AA3"/>
    <mergeCell ref="W7:W8"/>
    <mergeCell ref="D11:N11"/>
    <mergeCell ref="D30:AA30"/>
    <mergeCell ref="E7:E8"/>
    <mergeCell ref="K7:K8"/>
    <mergeCell ref="R8:T8"/>
    <mergeCell ref="Q7:Q8"/>
    <mergeCell ref="L7:N7"/>
    <mergeCell ref="X8:Z8"/>
    <mergeCell ref="F7:H7"/>
    <mergeCell ref="R7:T7"/>
    <mergeCell ref="X7:Z7"/>
    <mergeCell ref="A1:C5"/>
    <mergeCell ref="A6:C8"/>
    <mergeCell ref="D1:W3"/>
    <mergeCell ref="D6:AA6"/>
    <mergeCell ref="F8:H8"/>
    <mergeCell ref="L8:N8"/>
  </mergeCells>
  <hyperlinks>
    <hyperlink ref="AA5" r:id="rId1" location="Dashboard!A1" xr:uid="{00000000-0004-0000-0300-000000000000}"/>
    <hyperlink ref="C11" location="Dashboard!A1" display="الرئيسية" xr:uid="{00000000-0004-0000-0300-000001000000}"/>
    <hyperlink ref="C14" location="البلاغات_DB!A1" display="البلاغات" xr:uid="{00000000-0004-0000-0300-000002000000}"/>
    <hyperlink ref="C17" location="الإحالات_DB!A1" display="الإحالات" xr:uid="{00000000-0004-0000-0300-000003000000}"/>
    <hyperlink ref="C20" location="الدوريات_DB!A1" display="الدوريات" xr:uid="{00000000-0004-0000-0300-000004000000}"/>
    <hyperlink ref="C23" location="الدورات_DB!A1" display="الدورات" xr:uid="{00000000-0004-0000-0300-000005000000}"/>
    <hyperlink ref="C26" location="التمارين_DB!A1" display="التمارين" xr:uid="{00000000-0004-0000-0300-000006000000}"/>
    <hyperlink ref="C29" location="الزيارات_DB!A1" display="الزيارات" xr:uid="{00000000-0004-0000-0300-000007000000}"/>
    <hyperlink ref="C32" location="الاحتياجات_DB!A1" display="الاحتياجات" xr:uid="{00000000-0004-0000-0300-000008000000}"/>
    <hyperlink ref="C35" location="القوى_البشرية_DB!A1" display="القوى البشرية" xr:uid="{00000000-0004-0000-0300-000009000000}"/>
    <hyperlink ref="C38" location="المركبات_DB!A1" display="المركبات" xr:uid="{00000000-0004-0000-0300-00000A000000}"/>
    <hyperlink ref="C41" location="Dashboard!A1" display="الإعدادات" xr:uid="{00000000-0004-0000-0300-00000B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C3AED"/>
  </sheetPr>
  <dimension ref="A1:AA125"/>
  <sheetViews>
    <sheetView showGridLines="0" rightToLeft="1" topLeftCell="A17" zoomScaleNormal="100" workbookViewId="0">
      <selection activeCell="C26" sqref="C26"/>
    </sheetView>
  </sheetViews>
  <sheetFormatPr defaultColWidth="8.6640625" defaultRowHeight="14.4"/>
  <cols>
    <col min="1" max="1" width="3" customWidth="1"/>
    <col min="2" max="2" width="4" customWidth="1"/>
    <col min="3" max="3" width="14" customWidth="1"/>
    <col min="4" max="29" width="7" customWidth="1"/>
  </cols>
  <sheetData>
    <row r="1" spans="1:27" ht="24.75" customHeight="1">
      <c r="A1" s="72" t="s">
        <v>0</v>
      </c>
      <c r="B1" s="71"/>
      <c r="C1" s="71"/>
      <c r="D1" s="75" t="s">
        <v>141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85" t="s">
        <v>2</v>
      </c>
      <c r="Y1" s="71"/>
      <c r="Z1" s="71"/>
      <c r="AA1" s="71"/>
    </row>
    <row r="2" spans="1:27" ht="24.75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 spans="1:27" ht="19.5" customHeigh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</row>
    <row r="4" spans="1:27" ht="3.75" customHeight="1">
      <c r="A4" s="71"/>
      <c r="B4" s="71"/>
      <c r="C4" s="7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customHeight="1">
      <c r="A5" s="71"/>
      <c r="B5" s="71"/>
      <c r="C5" s="7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9" t="s">
        <v>90</v>
      </c>
    </row>
    <row r="6" spans="1:27" ht="21.75" customHeight="1">
      <c r="A6" s="73" t="s">
        <v>3</v>
      </c>
      <c r="B6" s="71"/>
      <c r="C6" s="71"/>
      <c r="D6" s="101" t="s">
        <v>142</v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 spans="1:27" ht="19.5" customHeight="1">
      <c r="A7" s="71"/>
      <c r="B7" s="71"/>
      <c r="C7" s="71"/>
      <c r="D7" s="16"/>
      <c r="E7" s="70" t="s">
        <v>15</v>
      </c>
      <c r="F7" s="77" t="s">
        <v>6</v>
      </c>
      <c r="G7" s="78"/>
      <c r="H7" s="79"/>
      <c r="I7" s="2"/>
      <c r="J7" s="17"/>
      <c r="K7" s="70" t="s">
        <v>16</v>
      </c>
      <c r="L7" s="81" t="s">
        <v>143</v>
      </c>
      <c r="M7" s="78"/>
      <c r="N7" s="79"/>
      <c r="O7" s="2"/>
      <c r="P7" s="4"/>
      <c r="Q7" s="70" t="s">
        <v>144</v>
      </c>
      <c r="R7" s="82" t="s">
        <v>145</v>
      </c>
      <c r="S7" s="78"/>
      <c r="T7" s="79"/>
      <c r="U7" s="2"/>
      <c r="V7" s="18"/>
      <c r="W7" s="70" t="s">
        <v>113</v>
      </c>
      <c r="X7" s="89" t="s">
        <v>146</v>
      </c>
      <c r="Y7" s="78"/>
      <c r="Z7" s="79"/>
      <c r="AA7" s="2"/>
    </row>
    <row r="8" spans="1:27" ht="19.5" customHeight="1">
      <c r="A8" s="71"/>
      <c r="B8" s="71"/>
      <c r="C8" s="71"/>
      <c r="D8" s="19"/>
      <c r="E8" s="71"/>
      <c r="F8" s="83" t="s">
        <v>19</v>
      </c>
      <c r="G8" s="71"/>
      <c r="H8" s="84"/>
      <c r="I8" s="2"/>
      <c r="J8" s="20"/>
      <c r="K8" s="71"/>
      <c r="L8" s="83" t="s">
        <v>147</v>
      </c>
      <c r="M8" s="71"/>
      <c r="N8" s="84"/>
      <c r="O8" s="2"/>
      <c r="P8" s="7"/>
      <c r="Q8" s="71"/>
      <c r="R8" s="83" t="s">
        <v>148</v>
      </c>
      <c r="S8" s="71"/>
      <c r="T8" s="84"/>
      <c r="U8" s="2"/>
      <c r="V8" s="21"/>
      <c r="W8" s="71"/>
      <c r="X8" s="83" t="s">
        <v>149</v>
      </c>
      <c r="Y8" s="71"/>
      <c r="Z8" s="84"/>
      <c r="AA8" s="2"/>
    </row>
    <row r="9" spans="1:27" ht="19.5" customHeight="1">
      <c r="A9" s="9"/>
      <c r="B9" s="9"/>
      <c r="C9" s="9"/>
      <c r="D9" s="22"/>
      <c r="E9" s="11"/>
      <c r="F9" s="11"/>
      <c r="G9" s="11"/>
      <c r="H9" s="12"/>
      <c r="I9" s="2"/>
      <c r="J9" s="23"/>
      <c r="K9" s="11"/>
      <c r="L9" s="11"/>
      <c r="M9" s="11"/>
      <c r="N9" s="12"/>
      <c r="O9" s="2"/>
      <c r="P9" s="13"/>
      <c r="Q9" s="11"/>
      <c r="R9" s="11"/>
      <c r="S9" s="11"/>
      <c r="T9" s="12"/>
      <c r="U9" s="2"/>
      <c r="V9" s="24"/>
      <c r="W9" s="11"/>
      <c r="X9" s="11"/>
      <c r="Y9" s="11"/>
      <c r="Z9" s="12"/>
      <c r="AA9" s="2"/>
    </row>
    <row r="10" spans="1:27" ht="15" customHeight="1">
      <c r="A10" s="15"/>
      <c r="B10" s="15"/>
      <c r="C10" s="1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1.75" customHeight="1">
      <c r="A11" s="15"/>
      <c r="B11" s="54" t="s">
        <v>13</v>
      </c>
      <c r="C11" s="55" t="s">
        <v>14</v>
      </c>
      <c r="D11" s="93" t="s">
        <v>150</v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90" t="s">
        <v>151</v>
      </c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</row>
    <row r="12" spans="1:27" ht="15" customHeight="1">
      <c r="A12" s="15"/>
      <c r="B12" s="56"/>
      <c r="C12" s="57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 customHeight="1">
      <c r="A13" s="15"/>
      <c r="B13" s="56"/>
      <c r="C13" s="57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" customHeight="1">
      <c r="A14" s="15"/>
      <c r="B14" s="54" t="s">
        <v>5</v>
      </c>
      <c r="C14" s="55" t="s">
        <v>22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" customHeight="1">
      <c r="A15" s="15"/>
      <c r="B15" s="56"/>
      <c r="C15" s="5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" customHeight="1">
      <c r="A16" s="15"/>
      <c r="B16" s="56"/>
      <c r="C16" s="57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" customHeight="1">
      <c r="A17" s="15"/>
      <c r="B17" s="54" t="s">
        <v>7</v>
      </c>
      <c r="C17" s="55" t="s">
        <v>31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" customHeight="1">
      <c r="A18" s="15"/>
      <c r="B18" s="56"/>
      <c r="C18" s="57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" customHeight="1">
      <c r="A19" s="15"/>
      <c r="B19" s="56"/>
      <c r="C19" s="57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" customHeight="1">
      <c r="A20" s="15"/>
      <c r="B20" s="54" t="s">
        <v>8</v>
      </c>
      <c r="C20" s="55" t="s">
        <v>32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" customHeight="1">
      <c r="A21" s="15"/>
      <c r="B21" s="56"/>
      <c r="C21" s="57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" customHeight="1">
      <c r="A22" s="15"/>
      <c r="B22" s="56"/>
      <c r="C22" s="57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" customHeight="1">
      <c r="A23" s="1"/>
      <c r="B23" s="58" t="s">
        <v>15</v>
      </c>
      <c r="C23" s="51" t="s">
        <v>35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" customHeight="1">
      <c r="A24" s="1"/>
      <c r="B24" s="59"/>
      <c r="C24" s="5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" customHeight="1">
      <c r="A25" s="15"/>
      <c r="B25" s="59"/>
      <c r="C25" s="5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" customHeight="1">
      <c r="A26" s="15"/>
      <c r="B26" s="54" t="s">
        <v>18</v>
      </c>
      <c r="C26" s="55" t="s">
        <v>36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" customHeight="1">
      <c r="A27" s="15"/>
      <c r="B27" s="56"/>
      <c r="C27" s="5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" customHeight="1">
      <c r="A28" s="15"/>
      <c r="B28" s="56"/>
      <c r="C28" s="57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" customHeight="1">
      <c r="A29" s="15"/>
      <c r="B29" s="54" t="s">
        <v>16</v>
      </c>
      <c r="C29" s="55" t="s">
        <v>37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" customHeight="1">
      <c r="A30" s="15"/>
      <c r="B30" s="56"/>
      <c r="C30" s="57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" customHeight="1">
      <c r="A31" s="15"/>
      <c r="B31" s="56"/>
      <c r="C31" s="57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" customHeight="1">
      <c r="A32" s="15"/>
      <c r="B32" s="54" t="s">
        <v>23</v>
      </c>
      <c r="C32" s="55" t="s">
        <v>28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" customHeight="1">
      <c r="A33" s="15"/>
      <c r="B33" s="56"/>
      <c r="C33" s="57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" customHeight="1">
      <c r="A34" s="15"/>
      <c r="B34" s="56"/>
      <c r="C34" s="57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" customHeight="1">
      <c r="A35" s="15"/>
      <c r="B35" s="54" t="s">
        <v>24</v>
      </c>
      <c r="C35" s="55" t="s">
        <v>40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" customHeight="1">
      <c r="A36" s="15"/>
      <c r="B36" s="56"/>
      <c r="C36" s="57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" customHeight="1">
      <c r="A37" s="15"/>
      <c r="B37" s="56"/>
      <c r="C37" s="5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" customHeight="1">
      <c r="A38" s="15"/>
      <c r="B38" s="54" t="s">
        <v>26</v>
      </c>
      <c r="C38" s="55" t="s">
        <v>41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" customHeight="1">
      <c r="A39" s="15"/>
      <c r="B39" s="56"/>
      <c r="C39" s="5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" customHeight="1">
      <c r="A40" s="15"/>
      <c r="B40" s="56"/>
      <c r="C40" s="5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" customHeight="1">
      <c r="A41" s="15"/>
      <c r="B41" s="54" t="s">
        <v>42</v>
      </c>
      <c r="C41" s="55" t="s">
        <v>43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" customHeight="1">
      <c r="A42" s="15"/>
      <c r="B42" s="56"/>
      <c r="C42" s="5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" customHeight="1">
      <c r="A43" s="15"/>
      <c r="B43" s="56"/>
      <c r="C43" s="5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" customHeight="1">
      <c r="A44" s="15"/>
      <c r="B44" s="15"/>
      <c r="C44" s="15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" customHeight="1">
      <c r="A45" s="15"/>
      <c r="B45" s="15"/>
      <c r="C45" s="1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" customHeight="1">
      <c r="A46" s="15"/>
      <c r="B46" s="15"/>
      <c r="C46" s="15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" customHeight="1">
      <c r="A47" s="15"/>
      <c r="B47" s="15"/>
      <c r="C47" s="1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" customHeight="1">
      <c r="A48" s="15"/>
      <c r="B48" s="15"/>
      <c r="C48" s="1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" customHeight="1">
      <c r="A49" s="15"/>
      <c r="B49" s="15"/>
      <c r="C49" s="1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" customHeight="1">
      <c r="A50" s="15"/>
      <c r="B50" s="15"/>
      <c r="C50" s="1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" customHeight="1">
      <c r="A51" s="15"/>
      <c r="B51" s="15"/>
      <c r="C51" s="15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" customHeight="1">
      <c r="A52" s="15"/>
      <c r="B52" s="15"/>
      <c r="C52" s="15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" customHeight="1">
      <c r="A53" s="15"/>
      <c r="B53" s="15"/>
      <c r="C53" s="1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" customHeight="1">
      <c r="A54" s="15"/>
      <c r="B54" s="15"/>
      <c r="C54" s="15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" customHeight="1">
      <c r="A55" s="15"/>
      <c r="B55" s="15"/>
      <c r="C55" s="15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" customHeight="1">
      <c r="A56" s="15"/>
      <c r="B56" s="15"/>
      <c r="C56" s="15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" customHeight="1">
      <c r="A57" s="15"/>
      <c r="B57" s="15"/>
      <c r="C57" s="1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" customHeight="1">
      <c r="A58" s="15"/>
      <c r="B58" s="15"/>
      <c r="C58" s="1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" customHeight="1">
      <c r="A59" s="15"/>
      <c r="B59" s="15"/>
      <c r="C59" s="1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" customHeight="1"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100" spans="1:2" ht="15" customHeight="1">
      <c r="A100" s="28" t="s">
        <v>84</v>
      </c>
      <c r="B100" s="28" t="s">
        <v>85</v>
      </c>
    </row>
    <row r="101" spans="1:2" ht="15" customHeight="1">
      <c r="A101" s="28" t="s">
        <v>86</v>
      </c>
      <c r="B101">
        <v>231</v>
      </c>
    </row>
    <row r="102" spans="1:2" ht="15" customHeight="1">
      <c r="A102" s="28" t="s">
        <v>87</v>
      </c>
      <c r="B102">
        <v>183</v>
      </c>
    </row>
    <row r="103" spans="1:2" ht="15" customHeight="1">
      <c r="A103" s="28" t="s">
        <v>88</v>
      </c>
      <c r="B103">
        <v>189</v>
      </c>
    </row>
    <row r="120" spans="1:2" ht="15" customHeight="1">
      <c r="A120" s="28" t="s">
        <v>103</v>
      </c>
      <c r="B120" s="28" t="s">
        <v>85</v>
      </c>
    </row>
    <row r="121" spans="1:2" ht="15" customHeight="1">
      <c r="A121" s="28" t="s">
        <v>104</v>
      </c>
      <c r="B121">
        <v>132</v>
      </c>
    </row>
    <row r="122" spans="1:2" ht="15" customHeight="1">
      <c r="A122" s="28" t="s">
        <v>105</v>
      </c>
      <c r="B122">
        <v>135</v>
      </c>
    </row>
    <row r="123" spans="1:2" ht="15" customHeight="1">
      <c r="A123" s="28" t="s">
        <v>106</v>
      </c>
      <c r="B123">
        <v>138</v>
      </c>
    </row>
    <row r="124" spans="1:2" ht="15" customHeight="1">
      <c r="A124" s="28" t="s">
        <v>107</v>
      </c>
      <c r="B124">
        <v>55</v>
      </c>
    </row>
    <row r="125" spans="1:2" ht="15" customHeight="1">
      <c r="A125" s="28" t="s">
        <v>108</v>
      </c>
      <c r="B125">
        <v>143</v>
      </c>
    </row>
  </sheetData>
  <mergeCells count="19">
    <mergeCell ref="O11:AA11"/>
    <mergeCell ref="X1:AA3"/>
    <mergeCell ref="W7:W8"/>
    <mergeCell ref="D11:N11"/>
    <mergeCell ref="E7:E8"/>
    <mergeCell ref="K7:K8"/>
    <mergeCell ref="R8:T8"/>
    <mergeCell ref="Q7:Q8"/>
    <mergeCell ref="L7:N7"/>
    <mergeCell ref="X8:Z8"/>
    <mergeCell ref="F7:H7"/>
    <mergeCell ref="R7:T7"/>
    <mergeCell ref="X7:Z7"/>
    <mergeCell ref="A1:C5"/>
    <mergeCell ref="A6:C8"/>
    <mergeCell ref="D1:W3"/>
    <mergeCell ref="D6:AA6"/>
    <mergeCell ref="F8:H8"/>
    <mergeCell ref="L8:N8"/>
  </mergeCells>
  <hyperlinks>
    <hyperlink ref="AA5" r:id="rId1" location="Dashboard!A1" xr:uid="{00000000-0004-0000-0400-000000000000}"/>
    <hyperlink ref="C11" location="Dashboard!A1" display="الرئيسية" xr:uid="{00000000-0004-0000-0400-000001000000}"/>
    <hyperlink ref="C14" location="البلاغات_DB!A1" display="البلاغات" xr:uid="{00000000-0004-0000-0400-000002000000}"/>
    <hyperlink ref="C17" location="الإحالات_DB!A1" display="الإحالات" xr:uid="{00000000-0004-0000-0400-000003000000}"/>
    <hyperlink ref="C20" location="الدوريات_DB!A1" display="الدوريات" xr:uid="{00000000-0004-0000-0400-000004000000}"/>
    <hyperlink ref="C23" location="الدورات_DB!A1" display="الدورات" xr:uid="{00000000-0004-0000-0400-000005000000}"/>
    <hyperlink ref="C26" location="التمارين_DB!A1" display="التمارين" xr:uid="{00000000-0004-0000-0400-000006000000}"/>
    <hyperlink ref="C29" location="الزيارات_DB!A1" display="الزيارات" xr:uid="{00000000-0004-0000-0400-000007000000}"/>
    <hyperlink ref="C32" location="الاحتياجات_DB!A1" display="الاحتياجات" xr:uid="{00000000-0004-0000-0400-000008000000}"/>
    <hyperlink ref="C35" location="القوى_البشرية_DB!A1" display="القوى البشرية" xr:uid="{00000000-0004-0000-0400-000009000000}"/>
    <hyperlink ref="C38" location="المركبات_DB!A1" display="المركبات" xr:uid="{00000000-0004-0000-0400-00000A000000}"/>
    <hyperlink ref="C41" location="Dashboard!A1" display="الإعدادات" xr:uid="{00000000-0004-0000-0400-00000B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6A34A"/>
  </sheetPr>
  <dimension ref="A1:AA123"/>
  <sheetViews>
    <sheetView showGridLines="0" rightToLeft="1" topLeftCell="A12" zoomScaleNormal="100" workbookViewId="0">
      <selection activeCell="C29" sqref="C29"/>
    </sheetView>
  </sheetViews>
  <sheetFormatPr defaultColWidth="8.6640625" defaultRowHeight="14.4"/>
  <cols>
    <col min="1" max="1" width="3" customWidth="1"/>
    <col min="2" max="2" width="4" customWidth="1"/>
    <col min="3" max="3" width="14" customWidth="1"/>
    <col min="4" max="29" width="7" customWidth="1"/>
  </cols>
  <sheetData>
    <row r="1" spans="1:27" ht="24.75" customHeight="1">
      <c r="A1" s="72" t="s">
        <v>0</v>
      </c>
      <c r="B1" s="71"/>
      <c r="C1" s="71"/>
      <c r="D1" s="75" t="s">
        <v>152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85" t="s">
        <v>2</v>
      </c>
      <c r="Y1" s="71"/>
      <c r="Z1" s="71"/>
      <c r="AA1" s="71"/>
    </row>
    <row r="2" spans="1:27" ht="24.75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 spans="1:27" ht="19.5" customHeigh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</row>
    <row r="4" spans="1:27" ht="3.75" customHeight="1">
      <c r="A4" s="71"/>
      <c r="B4" s="71"/>
      <c r="C4" s="7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customHeight="1">
      <c r="A5" s="71"/>
      <c r="B5" s="71"/>
      <c r="C5" s="7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9" t="s">
        <v>90</v>
      </c>
    </row>
    <row r="6" spans="1:27" ht="21.75" customHeight="1">
      <c r="A6" s="73" t="s">
        <v>3</v>
      </c>
      <c r="B6" s="71"/>
      <c r="C6" s="71"/>
      <c r="D6" s="102" t="s">
        <v>153</v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 spans="1:27" ht="19.5" customHeight="1">
      <c r="A7" s="71"/>
      <c r="B7" s="71"/>
      <c r="C7" s="71"/>
      <c r="D7" s="18"/>
      <c r="E7" s="70" t="s">
        <v>18</v>
      </c>
      <c r="F7" s="89" t="s">
        <v>6</v>
      </c>
      <c r="G7" s="78"/>
      <c r="H7" s="79"/>
      <c r="I7" s="2"/>
      <c r="J7" s="17"/>
      <c r="K7" s="70" t="s">
        <v>16</v>
      </c>
      <c r="L7" s="81" t="s">
        <v>154</v>
      </c>
      <c r="M7" s="78"/>
      <c r="N7" s="79"/>
      <c r="O7" s="2"/>
      <c r="P7" s="4"/>
      <c r="Q7" s="70" t="s">
        <v>155</v>
      </c>
      <c r="R7" s="82" t="s">
        <v>156</v>
      </c>
      <c r="S7" s="78"/>
      <c r="T7" s="79"/>
      <c r="U7" s="2"/>
      <c r="V7" s="25"/>
      <c r="W7" s="70" t="s">
        <v>157</v>
      </c>
      <c r="X7" s="87" t="s">
        <v>158</v>
      </c>
      <c r="Y7" s="78"/>
      <c r="Z7" s="79"/>
      <c r="AA7" s="2"/>
    </row>
    <row r="8" spans="1:27" ht="19.5" customHeight="1">
      <c r="A8" s="71"/>
      <c r="B8" s="71"/>
      <c r="C8" s="71"/>
      <c r="D8" s="21"/>
      <c r="E8" s="71"/>
      <c r="F8" s="83" t="s">
        <v>21</v>
      </c>
      <c r="G8" s="71"/>
      <c r="H8" s="84"/>
      <c r="I8" s="2"/>
      <c r="J8" s="20"/>
      <c r="K8" s="71"/>
      <c r="L8" s="83" t="s">
        <v>159</v>
      </c>
      <c r="M8" s="71"/>
      <c r="N8" s="84"/>
      <c r="O8" s="2"/>
      <c r="P8" s="7"/>
      <c r="Q8" s="71"/>
      <c r="R8" s="83" t="s">
        <v>160</v>
      </c>
      <c r="S8" s="71"/>
      <c r="T8" s="84"/>
      <c r="U8" s="2"/>
      <c r="V8" s="26"/>
      <c r="W8" s="71"/>
      <c r="X8" s="83" t="s">
        <v>161</v>
      </c>
      <c r="Y8" s="71"/>
      <c r="Z8" s="84"/>
      <c r="AA8" s="2"/>
    </row>
    <row r="9" spans="1:27" ht="19.5" customHeight="1">
      <c r="A9" s="9"/>
      <c r="B9" s="9"/>
      <c r="C9" s="9"/>
      <c r="D9" s="24"/>
      <c r="E9" s="11"/>
      <c r="F9" s="11"/>
      <c r="G9" s="11"/>
      <c r="H9" s="12"/>
      <c r="I9" s="2"/>
      <c r="J9" s="23"/>
      <c r="K9" s="11"/>
      <c r="L9" s="11"/>
      <c r="M9" s="11"/>
      <c r="N9" s="12"/>
      <c r="O9" s="2"/>
      <c r="P9" s="13"/>
      <c r="Q9" s="11"/>
      <c r="R9" s="11"/>
      <c r="S9" s="11"/>
      <c r="T9" s="12"/>
      <c r="U9" s="2"/>
      <c r="V9" s="27"/>
      <c r="W9" s="11"/>
      <c r="X9" s="11"/>
      <c r="Y9" s="11"/>
      <c r="Z9" s="12"/>
      <c r="AA9" s="2"/>
    </row>
    <row r="10" spans="1:27" ht="15" customHeight="1">
      <c r="A10" s="15"/>
      <c r="B10" s="15"/>
      <c r="C10" s="1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1.75" customHeight="1">
      <c r="A11" s="15"/>
      <c r="B11" s="54" t="s">
        <v>13</v>
      </c>
      <c r="C11" s="55" t="s">
        <v>14</v>
      </c>
      <c r="D11" s="80" t="s">
        <v>162</v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92" t="s">
        <v>163</v>
      </c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</row>
    <row r="12" spans="1:27" ht="15" customHeight="1">
      <c r="A12" s="15"/>
      <c r="B12" s="56"/>
      <c r="C12" s="57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 customHeight="1">
      <c r="A13" s="15"/>
      <c r="B13" s="56"/>
      <c r="C13" s="57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" customHeight="1">
      <c r="A14" s="15"/>
      <c r="B14" s="54" t="s">
        <v>5</v>
      </c>
      <c r="C14" s="55" t="s">
        <v>22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" customHeight="1">
      <c r="A15" s="15"/>
      <c r="B15" s="56"/>
      <c r="C15" s="5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" customHeight="1">
      <c r="A16" s="15"/>
      <c r="B16" s="56"/>
      <c r="C16" s="57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" customHeight="1">
      <c r="A17" s="15"/>
      <c r="B17" s="54" t="s">
        <v>7</v>
      </c>
      <c r="C17" s="55" t="s">
        <v>31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" customHeight="1">
      <c r="A18" s="15"/>
      <c r="B18" s="56"/>
      <c r="C18" s="57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" customHeight="1">
      <c r="A19" s="15"/>
      <c r="B19" s="56"/>
      <c r="C19" s="57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" customHeight="1">
      <c r="A20" s="15"/>
      <c r="B20" s="54" t="s">
        <v>8</v>
      </c>
      <c r="C20" s="55" t="s">
        <v>32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" customHeight="1">
      <c r="A21" s="15"/>
      <c r="B21" s="56"/>
      <c r="C21" s="57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" customHeight="1">
      <c r="A22" s="15"/>
      <c r="B22" s="56"/>
      <c r="C22" s="57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" customHeight="1">
      <c r="A23" s="15"/>
      <c r="B23" s="54" t="s">
        <v>15</v>
      </c>
      <c r="C23" s="55" t="s">
        <v>35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" customHeight="1">
      <c r="A24" s="15"/>
      <c r="B24" s="56"/>
      <c r="C24" s="5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" customHeight="1">
      <c r="A25" s="15"/>
      <c r="B25" s="56"/>
      <c r="C25" s="57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" customHeight="1">
      <c r="A26" s="1"/>
      <c r="B26" s="64" t="s">
        <v>18</v>
      </c>
      <c r="C26" s="51" t="s">
        <v>36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" customHeight="1">
      <c r="A27" s="1"/>
      <c r="B27" s="65"/>
      <c r="C27" s="5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" customHeight="1">
      <c r="A28" s="15"/>
      <c r="B28" s="65"/>
      <c r="C28" s="5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" customHeight="1">
      <c r="A29" s="15"/>
      <c r="B29" s="54" t="s">
        <v>16</v>
      </c>
      <c r="C29" s="55" t="s">
        <v>37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" customHeight="1">
      <c r="A30" s="15"/>
      <c r="B30" s="56"/>
      <c r="C30" s="57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" customHeight="1">
      <c r="A31" s="15"/>
      <c r="B31" s="56"/>
      <c r="C31" s="57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" customHeight="1">
      <c r="A32" s="15"/>
      <c r="B32" s="54" t="s">
        <v>23</v>
      </c>
      <c r="C32" s="55" t="s">
        <v>28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" customHeight="1">
      <c r="A33" s="15"/>
      <c r="B33" s="56"/>
      <c r="C33" s="57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" customHeight="1">
      <c r="A34" s="15"/>
      <c r="B34" s="56"/>
      <c r="C34" s="57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" customHeight="1">
      <c r="A35" s="15"/>
      <c r="B35" s="54" t="s">
        <v>24</v>
      </c>
      <c r="C35" s="55" t="s">
        <v>40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" customHeight="1">
      <c r="A36" s="15"/>
      <c r="B36" s="56"/>
      <c r="C36" s="57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" customHeight="1">
      <c r="A37" s="15"/>
      <c r="B37" s="56"/>
      <c r="C37" s="5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" customHeight="1">
      <c r="A38" s="15"/>
      <c r="B38" s="54" t="s">
        <v>26</v>
      </c>
      <c r="C38" s="55" t="s">
        <v>41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" customHeight="1">
      <c r="A39" s="15"/>
      <c r="B39" s="56"/>
      <c r="C39" s="5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" customHeight="1">
      <c r="A40" s="15"/>
      <c r="B40" s="56"/>
      <c r="C40" s="5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" customHeight="1">
      <c r="A41" s="15"/>
      <c r="B41" s="54" t="s">
        <v>42</v>
      </c>
      <c r="C41" s="55" t="s">
        <v>43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" customHeight="1">
      <c r="A42" s="15"/>
      <c r="B42" s="56"/>
      <c r="C42" s="5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" customHeight="1">
      <c r="A43" s="15"/>
      <c r="B43" s="56"/>
      <c r="C43" s="5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" customHeight="1">
      <c r="A44" s="15"/>
      <c r="B44" s="15"/>
      <c r="C44" s="15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" customHeight="1">
      <c r="A45" s="15"/>
      <c r="B45" s="15"/>
      <c r="C45" s="1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" customHeight="1">
      <c r="A46" s="15"/>
      <c r="B46" s="15"/>
      <c r="C46" s="15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" customHeight="1">
      <c r="A47" s="15"/>
      <c r="B47" s="15"/>
      <c r="C47" s="1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" customHeight="1">
      <c r="A48" s="15"/>
      <c r="B48" s="15"/>
      <c r="C48" s="1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" customHeight="1">
      <c r="A49" s="15"/>
      <c r="B49" s="15"/>
      <c r="C49" s="1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" customHeight="1">
      <c r="A50" s="15"/>
      <c r="B50" s="15"/>
      <c r="C50" s="1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" customHeight="1">
      <c r="A51" s="15"/>
      <c r="B51" s="15"/>
      <c r="C51" s="15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" customHeight="1">
      <c r="A52" s="15"/>
      <c r="B52" s="15"/>
      <c r="C52" s="15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" customHeight="1">
      <c r="A53" s="15"/>
      <c r="B53" s="15"/>
      <c r="C53" s="1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" customHeight="1">
      <c r="A54" s="15"/>
      <c r="B54" s="15"/>
      <c r="C54" s="15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" customHeight="1">
      <c r="A55" s="15"/>
      <c r="B55" s="15"/>
      <c r="C55" s="15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" customHeight="1">
      <c r="A56" s="15"/>
      <c r="B56" s="15"/>
      <c r="C56" s="15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" customHeight="1">
      <c r="A57" s="15"/>
      <c r="B57" s="15"/>
      <c r="C57" s="1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" customHeight="1">
      <c r="A58" s="15"/>
      <c r="B58" s="15"/>
      <c r="C58" s="1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" customHeight="1">
      <c r="A59" s="15"/>
      <c r="B59" s="15"/>
      <c r="C59" s="1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" customHeight="1"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100" spans="1:2" ht="15" customHeight="1">
      <c r="A100" s="28" t="s">
        <v>79</v>
      </c>
      <c r="B100" s="28" t="s">
        <v>47</v>
      </c>
    </row>
    <row r="101" spans="1:2" ht="15" customHeight="1">
      <c r="A101" s="28" t="s">
        <v>80</v>
      </c>
      <c r="B101">
        <v>10</v>
      </c>
    </row>
    <row r="102" spans="1:2" ht="15" customHeight="1">
      <c r="A102" s="28" t="s">
        <v>81</v>
      </c>
      <c r="B102">
        <v>9</v>
      </c>
    </row>
    <row r="103" spans="1:2" ht="15" customHeight="1">
      <c r="A103" s="28" t="s">
        <v>82</v>
      </c>
      <c r="B103">
        <v>6</v>
      </c>
    </row>
    <row r="104" spans="1:2" ht="15" customHeight="1">
      <c r="A104" s="28" t="s">
        <v>83</v>
      </c>
      <c r="B104">
        <v>6</v>
      </c>
    </row>
    <row r="120" spans="1:2" ht="15" customHeight="1">
      <c r="A120" s="28" t="s">
        <v>164</v>
      </c>
      <c r="B120" s="28" t="s">
        <v>165</v>
      </c>
    </row>
    <row r="121" spans="1:2" ht="15" customHeight="1">
      <c r="A121" s="28" t="s">
        <v>101</v>
      </c>
      <c r="B121">
        <v>281</v>
      </c>
    </row>
    <row r="122" spans="1:2" ht="15" customHeight="1">
      <c r="A122" s="28" t="s">
        <v>32</v>
      </c>
      <c r="B122">
        <v>144</v>
      </c>
    </row>
    <row r="123" spans="1:2" ht="15" customHeight="1">
      <c r="A123" s="28" t="s">
        <v>102</v>
      </c>
      <c r="B123">
        <v>171</v>
      </c>
    </row>
  </sheetData>
  <mergeCells count="19">
    <mergeCell ref="O11:AA11"/>
    <mergeCell ref="X1:AA3"/>
    <mergeCell ref="W7:W8"/>
    <mergeCell ref="D11:N11"/>
    <mergeCell ref="E7:E8"/>
    <mergeCell ref="K7:K8"/>
    <mergeCell ref="R8:T8"/>
    <mergeCell ref="Q7:Q8"/>
    <mergeCell ref="L7:N7"/>
    <mergeCell ref="X8:Z8"/>
    <mergeCell ref="F7:H7"/>
    <mergeCell ref="R7:T7"/>
    <mergeCell ref="X7:Z7"/>
    <mergeCell ref="A1:C5"/>
    <mergeCell ref="A6:C8"/>
    <mergeCell ref="D1:W3"/>
    <mergeCell ref="D6:AA6"/>
    <mergeCell ref="F8:H8"/>
    <mergeCell ref="L8:N8"/>
  </mergeCells>
  <hyperlinks>
    <hyperlink ref="AA5" r:id="rId1" location="Dashboard!A1" xr:uid="{00000000-0004-0000-0500-000000000000}"/>
    <hyperlink ref="C11" location="Dashboard!A1" display="الرئيسية" xr:uid="{00000000-0004-0000-0500-000001000000}"/>
    <hyperlink ref="C14" location="البلاغات_DB!A1" display="البلاغات" xr:uid="{00000000-0004-0000-0500-000002000000}"/>
    <hyperlink ref="C17" location="الإحالات_DB!A1" display="الإحالات" xr:uid="{00000000-0004-0000-0500-000003000000}"/>
    <hyperlink ref="C20" location="الدوريات_DB!A1" display="الدوريات" xr:uid="{00000000-0004-0000-0500-000004000000}"/>
    <hyperlink ref="C23" location="الدورات_DB!A1" display="الدورات" xr:uid="{00000000-0004-0000-0500-000005000000}"/>
    <hyperlink ref="C26" location="التمارين_DB!A1" display="التمارين" xr:uid="{00000000-0004-0000-0500-000006000000}"/>
    <hyperlink ref="C29" location="الزيارات_DB!A1" display="الزيارات" xr:uid="{00000000-0004-0000-0500-000007000000}"/>
    <hyperlink ref="C32" location="الاحتياجات_DB!A1" display="الاحتياجات" xr:uid="{00000000-0004-0000-0500-000008000000}"/>
    <hyperlink ref="C35" location="القوى_البشرية_DB!A1" display="القوى البشرية" xr:uid="{00000000-0004-0000-0500-000009000000}"/>
    <hyperlink ref="C38" location="المركبات_DB!A1" display="المركبات" xr:uid="{00000000-0004-0000-0500-00000A000000}"/>
    <hyperlink ref="C41" location="Dashboard!A1" display="الإعدادات" xr:uid="{00000000-0004-0000-0500-00000B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766E"/>
  </sheetPr>
  <dimension ref="A1:AA131"/>
  <sheetViews>
    <sheetView showGridLines="0" rightToLeft="1" topLeftCell="A17" zoomScaleNormal="100" workbookViewId="0">
      <selection activeCell="C32" sqref="C32"/>
    </sheetView>
  </sheetViews>
  <sheetFormatPr defaultColWidth="8.6640625" defaultRowHeight="14.4"/>
  <cols>
    <col min="1" max="1" width="3" customWidth="1"/>
    <col min="2" max="2" width="4" customWidth="1"/>
    <col min="3" max="3" width="14" customWidth="1"/>
    <col min="4" max="29" width="7" customWidth="1"/>
  </cols>
  <sheetData>
    <row r="1" spans="1:27" ht="24.75" customHeight="1">
      <c r="A1" s="72" t="s">
        <v>0</v>
      </c>
      <c r="B1" s="71"/>
      <c r="C1" s="71"/>
      <c r="D1" s="75" t="s">
        <v>166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85" t="s">
        <v>2</v>
      </c>
      <c r="Y1" s="71"/>
      <c r="Z1" s="71"/>
      <c r="AA1" s="71"/>
    </row>
    <row r="2" spans="1:27" ht="24.75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 spans="1:27" ht="19.5" customHeigh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</row>
    <row r="4" spans="1:27" ht="3.75" customHeight="1">
      <c r="A4" s="71"/>
      <c r="B4" s="71"/>
      <c r="C4" s="7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customHeight="1">
      <c r="A5" s="71"/>
      <c r="B5" s="71"/>
      <c r="C5" s="7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9" t="s">
        <v>90</v>
      </c>
    </row>
    <row r="6" spans="1:27" ht="21.75" customHeight="1">
      <c r="A6" s="73" t="s">
        <v>3</v>
      </c>
      <c r="B6" s="71"/>
      <c r="C6" s="71"/>
      <c r="D6" s="103" t="s">
        <v>167</v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 spans="1:27" ht="19.5" customHeight="1">
      <c r="A7" s="71"/>
      <c r="B7" s="71"/>
      <c r="C7" s="71"/>
      <c r="D7" s="17"/>
      <c r="E7" s="70" t="s">
        <v>16</v>
      </c>
      <c r="F7" s="81" t="s">
        <v>17</v>
      </c>
      <c r="G7" s="78"/>
      <c r="H7" s="79"/>
      <c r="I7" s="2"/>
      <c r="J7" s="4"/>
      <c r="K7" s="70" t="s">
        <v>111</v>
      </c>
      <c r="L7" s="82" t="s">
        <v>145</v>
      </c>
      <c r="M7" s="78"/>
      <c r="N7" s="79"/>
      <c r="O7" s="2"/>
      <c r="P7" s="5"/>
      <c r="Q7" s="70" t="s">
        <v>114</v>
      </c>
      <c r="R7" s="91" t="s">
        <v>115</v>
      </c>
      <c r="S7" s="78"/>
      <c r="T7" s="79"/>
      <c r="U7" s="2"/>
      <c r="V7" s="18"/>
      <c r="W7" s="70" t="s">
        <v>157</v>
      </c>
      <c r="X7" s="89" t="s">
        <v>168</v>
      </c>
      <c r="Y7" s="78"/>
      <c r="Z7" s="79"/>
      <c r="AA7" s="2"/>
    </row>
    <row r="8" spans="1:27" ht="19.5" customHeight="1">
      <c r="A8" s="71"/>
      <c r="B8" s="71"/>
      <c r="C8" s="71"/>
      <c r="D8" s="20"/>
      <c r="E8" s="71"/>
      <c r="F8" s="83" t="s">
        <v>20</v>
      </c>
      <c r="G8" s="71"/>
      <c r="H8" s="84"/>
      <c r="I8" s="2"/>
      <c r="J8" s="7"/>
      <c r="K8" s="71"/>
      <c r="L8" s="83" t="s">
        <v>169</v>
      </c>
      <c r="M8" s="71"/>
      <c r="N8" s="84"/>
      <c r="O8" s="2"/>
      <c r="P8" s="8"/>
      <c r="Q8" s="71"/>
      <c r="R8" s="83" t="s">
        <v>170</v>
      </c>
      <c r="S8" s="71"/>
      <c r="T8" s="84"/>
      <c r="U8" s="2"/>
      <c r="V8" s="21"/>
      <c r="W8" s="71"/>
      <c r="X8" s="83" t="s">
        <v>171</v>
      </c>
      <c r="Y8" s="71"/>
      <c r="Z8" s="84"/>
      <c r="AA8" s="2"/>
    </row>
    <row r="9" spans="1:27" ht="19.5" customHeight="1">
      <c r="A9" s="9"/>
      <c r="B9" s="9"/>
      <c r="C9" s="9"/>
      <c r="D9" s="23"/>
      <c r="E9" s="11"/>
      <c r="F9" s="11"/>
      <c r="G9" s="11"/>
      <c r="H9" s="12"/>
      <c r="I9" s="2"/>
      <c r="J9" s="13"/>
      <c r="K9" s="11"/>
      <c r="L9" s="11"/>
      <c r="M9" s="11"/>
      <c r="N9" s="12"/>
      <c r="O9" s="2"/>
      <c r="P9" s="14"/>
      <c r="Q9" s="11"/>
      <c r="R9" s="11"/>
      <c r="S9" s="11"/>
      <c r="T9" s="12"/>
      <c r="U9" s="2"/>
      <c r="V9" s="24"/>
      <c r="W9" s="11"/>
      <c r="X9" s="11"/>
      <c r="Y9" s="11"/>
      <c r="Z9" s="12"/>
      <c r="AA9" s="2"/>
    </row>
    <row r="10" spans="1:27" ht="15" customHeight="1">
      <c r="A10" s="15"/>
      <c r="B10" s="15"/>
      <c r="C10" s="1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1.75" customHeight="1">
      <c r="A11" s="15"/>
      <c r="B11" s="54" t="s">
        <v>13</v>
      </c>
      <c r="C11" s="55" t="s">
        <v>14</v>
      </c>
      <c r="D11" s="92" t="s">
        <v>172</v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90" t="s">
        <v>173</v>
      </c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</row>
    <row r="12" spans="1:27" ht="15" customHeight="1">
      <c r="A12" s="15"/>
      <c r="B12" s="56"/>
      <c r="C12" s="57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 customHeight="1">
      <c r="A13" s="15"/>
      <c r="B13" s="56"/>
      <c r="C13" s="57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" customHeight="1">
      <c r="A14" s="15"/>
      <c r="B14" s="54" t="s">
        <v>5</v>
      </c>
      <c r="C14" s="55" t="s">
        <v>22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" customHeight="1">
      <c r="A15" s="15"/>
      <c r="B15" s="56"/>
      <c r="C15" s="5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" customHeight="1">
      <c r="A16" s="15"/>
      <c r="B16" s="56"/>
      <c r="C16" s="57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" customHeight="1">
      <c r="A17" s="15"/>
      <c r="B17" s="54" t="s">
        <v>7</v>
      </c>
      <c r="C17" s="55" t="s">
        <v>31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" customHeight="1">
      <c r="A18" s="15"/>
      <c r="B18" s="56"/>
      <c r="C18" s="57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" customHeight="1">
      <c r="A19" s="15"/>
      <c r="B19" s="56"/>
      <c r="C19" s="57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" customHeight="1">
      <c r="A20" s="15"/>
      <c r="B20" s="54" t="s">
        <v>8</v>
      </c>
      <c r="C20" s="55" t="s">
        <v>32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" customHeight="1">
      <c r="A21" s="15"/>
      <c r="B21" s="56"/>
      <c r="C21" s="57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" customHeight="1">
      <c r="A22" s="15"/>
      <c r="B22" s="56"/>
      <c r="C22" s="57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" customHeight="1">
      <c r="A23" s="15"/>
      <c r="B23" s="54" t="s">
        <v>15</v>
      </c>
      <c r="C23" s="55" t="s">
        <v>35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" customHeight="1">
      <c r="A24" s="15"/>
      <c r="B24" s="56"/>
      <c r="C24" s="5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" customHeight="1">
      <c r="A25" s="15"/>
      <c r="B25" s="56"/>
      <c r="C25" s="57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" customHeight="1">
      <c r="A26" s="15"/>
      <c r="B26" s="54" t="s">
        <v>18</v>
      </c>
      <c r="C26" s="55" t="s">
        <v>36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" customHeight="1">
      <c r="A27" s="15"/>
      <c r="B27" s="56"/>
      <c r="C27" s="5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" customHeight="1">
      <c r="A28" s="15"/>
      <c r="B28" s="56"/>
      <c r="C28" s="57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" customHeight="1">
      <c r="A29" s="1"/>
      <c r="B29" s="66" t="s">
        <v>16</v>
      </c>
      <c r="C29" s="51" t="s">
        <v>37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" customHeight="1">
      <c r="A30" s="1"/>
      <c r="B30" s="67"/>
      <c r="C30" s="5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" customHeight="1">
      <c r="A31" s="15"/>
      <c r="B31" s="67"/>
      <c r="C31" s="5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" customHeight="1">
      <c r="A32" s="15"/>
      <c r="B32" s="54" t="s">
        <v>23</v>
      </c>
      <c r="C32" s="55" t="s">
        <v>28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" customHeight="1">
      <c r="A33" s="15"/>
      <c r="B33" s="56"/>
      <c r="C33" s="57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" customHeight="1">
      <c r="A34" s="15"/>
      <c r="B34" s="56"/>
      <c r="C34" s="57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" customHeight="1">
      <c r="A35" s="15"/>
      <c r="B35" s="54" t="s">
        <v>24</v>
      </c>
      <c r="C35" s="55" t="s">
        <v>40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" customHeight="1">
      <c r="A36" s="15"/>
      <c r="B36" s="56"/>
      <c r="C36" s="57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" customHeight="1">
      <c r="A37" s="15"/>
      <c r="B37" s="56"/>
      <c r="C37" s="5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" customHeight="1">
      <c r="A38" s="15"/>
      <c r="B38" s="54" t="s">
        <v>26</v>
      </c>
      <c r="C38" s="55" t="s">
        <v>41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" customHeight="1">
      <c r="A39" s="15"/>
      <c r="B39" s="56"/>
      <c r="C39" s="5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" customHeight="1">
      <c r="A40" s="15"/>
      <c r="B40" s="56"/>
      <c r="C40" s="5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" customHeight="1">
      <c r="A41" s="15"/>
      <c r="B41" s="54" t="s">
        <v>42</v>
      </c>
      <c r="C41" s="55" t="s">
        <v>43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" customHeight="1">
      <c r="A42" s="15"/>
      <c r="B42" s="56"/>
      <c r="C42" s="5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" customHeight="1">
      <c r="A43" s="15"/>
      <c r="B43" s="56"/>
      <c r="C43" s="5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" customHeight="1">
      <c r="A44" s="15"/>
      <c r="B44" s="15"/>
      <c r="C44" s="15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" customHeight="1">
      <c r="A45" s="15"/>
      <c r="B45" s="15"/>
      <c r="C45" s="1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" customHeight="1">
      <c r="A46" s="15"/>
      <c r="B46" s="15"/>
      <c r="C46" s="15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" customHeight="1">
      <c r="A47" s="15"/>
      <c r="B47" s="15"/>
      <c r="C47" s="1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" customHeight="1">
      <c r="A48" s="15"/>
      <c r="B48" s="15"/>
      <c r="C48" s="1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" customHeight="1">
      <c r="A49" s="15"/>
      <c r="B49" s="15"/>
      <c r="C49" s="1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" customHeight="1">
      <c r="A50" s="15"/>
      <c r="B50" s="15"/>
      <c r="C50" s="1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" customHeight="1">
      <c r="A51" s="15"/>
      <c r="B51" s="15"/>
      <c r="C51" s="15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" customHeight="1">
      <c r="A52" s="15"/>
      <c r="B52" s="15"/>
      <c r="C52" s="15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" customHeight="1">
      <c r="A53" s="15"/>
      <c r="B53" s="15"/>
      <c r="C53" s="1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" customHeight="1">
      <c r="A54" s="15"/>
      <c r="B54" s="15"/>
      <c r="C54" s="15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" customHeight="1">
      <c r="A55" s="15"/>
      <c r="B55" s="15"/>
      <c r="C55" s="15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" customHeight="1">
      <c r="A56" s="15"/>
      <c r="B56" s="15"/>
      <c r="C56" s="15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" customHeight="1">
      <c r="A57" s="15"/>
      <c r="B57" s="15"/>
      <c r="C57" s="1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" customHeight="1">
      <c r="A58" s="15"/>
      <c r="B58" s="15"/>
      <c r="C58" s="1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" customHeight="1">
      <c r="A59" s="15"/>
      <c r="B59" s="15"/>
      <c r="C59" s="1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" customHeight="1"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100" spans="1:2" ht="15" customHeight="1">
      <c r="A100" s="28" t="s">
        <v>64</v>
      </c>
      <c r="B100" s="28" t="s">
        <v>37</v>
      </c>
    </row>
    <row r="101" spans="1:2" ht="15" customHeight="1">
      <c r="A101" t="s">
        <v>174</v>
      </c>
      <c r="B101">
        <v>0</v>
      </c>
    </row>
    <row r="102" spans="1:2" ht="15" customHeight="1">
      <c r="A102" t="s">
        <v>175</v>
      </c>
      <c r="B102">
        <v>1</v>
      </c>
    </row>
    <row r="103" spans="1:2" ht="15" customHeight="1">
      <c r="A103" t="s">
        <v>176</v>
      </c>
      <c r="B103">
        <v>0</v>
      </c>
    </row>
    <row r="104" spans="1:2" ht="15" customHeight="1">
      <c r="A104" t="s">
        <v>177</v>
      </c>
      <c r="B104">
        <v>1</v>
      </c>
    </row>
    <row r="105" spans="1:2" ht="15" customHeight="1">
      <c r="A105" t="s">
        <v>178</v>
      </c>
      <c r="B105">
        <v>0</v>
      </c>
    </row>
    <row r="106" spans="1:2" ht="15" customHeight="1">
      <c r="A106" t="s">
        <v>179</v>
      </c>
      <c r="B106">
        <v>1</v>
      </c>
    </row>
    <row r="107" spans="1:2" ht="15" customHeight="1">
      <c r="A107" t="s">
        <v>180</v>
      </c>
      <c r="B107">
        <v>1</v>
      </c>
    </row>
    <row r="108" spans="1:2" ht="15" customHeight="1">
      <c r="A108" t="s">
        <v>181</v>
      </c>
      <c r="B108">
        <v>1</v>
      </c>
    </row>
    <row r="109" spans="1:2" ht="15" customHeight="1">
      <c r="A109" t="s">
        <v>182</v>
      </c>
      <c r="B109">
        <v>1</v>
      </c>
    </row>
    <row r="110" spans="1:2" ht="15" customHeight="1">
      <c r="A110" t="s">
        <v>183</v>
      </c>
      <c r="B110">
        <v>0</v>
      </c>
    </row>
    <row r="111" spans="1:2" ht="15" customHeight="1">
      <c r="A111" t="s">
        <v>184</v>
      </c>
      <c r="B111">
        <v>0</v>
      </c>
    </row>
    <row r="112" spans="1:2" ht="15" customHeight="1">
      <c r="A112" t="s">
        <v>185</v>
      </c>
      <c r="B112">
        <v>1</v>
      </c>
    </row>
    <row r="113" spans="1:2" ht="15" customHeight="1">
      <c r="A113" t="s">
        <v>186</v>
      </c>
      <c r="B113">
        <v>1</v>
      </c>
    </row>
    <row r="114" spans="1:2" ht="15" customHeight="1">
      <c r="A114" t="s">
        <v>187</v>
      </c>
      <c r="B114">
        <v>1</v>
      </c>
    </row>
    <row r="115" spans="1:2" ht="15" customHeight="1">
      <c r="A115" t="s">
        <v>188</v>
      </c>
      <c r="B115">
        <v>1</v>
      </c>
    </row>
    <row r="116" spans="1:2" ht="15" customHeight="1">
      <c r="A116" t="s">
        <v>189</v>
      </c>
      <c r="B116">
        <v>0</v>
      </c>
    </row>
    <row r="117" spans="1:2" ht="15" customHeight="1">
      <c r="A117" t="s">
        <v>190</v>
      </c>
      <c r="B117">
        <v>0</v>
      </c>
    </row>
    <row r="118" spans="1:2" ht="15" customHeight="1">
      <c r="A118" t="s">
        <v>65</v>
      </c>
      <c r="B118">
        <v>0</v>
      </c>
    </row>
    <row r="119" spans="1:2" ht="15" customHeight="1">
      <c r="A119" t="s">
        <v>66</v>
      </c>
      <c r="B119">
        <v>1</v>
      </c>
    </row>
    <row r="120" spans="1:2" ht="15" customHeight="1">
      <c r="A120" s="28" t="s">
        <v>164</v>
      </c>
      <c r="B120" s="28" t="s">
        <v>37</v>
      </c>
    </row>
    <row r="121" spans="1:2" ht="15" customHeight="1">
      <c r="A121" s="28" t="s">
        <v>101</v>
      </c>
      <c r="B121">
        <v>7</v>
      </c>
    </row>
    <row r="122" spans="1:2" ht="15" customHeight="1">
      <c r="A122" s="28" t="s">
        <v>191</v>
      </c>
      <c r="B122">
        <v>7</v>
      </c>
    </row>
    <row r="123" spans="1:2" ht="15" customHeight="1">
      <c r="A123" s="28" t="s">
        <v>102</v>
      </c>
      <c r="B123">
        <v>5</v>
      </c>
    </row>
    <row r="124" spans="1:2" ht="15" customHeight="1">
      <c r="A124" t="s">
        <v>71</v>
      </c>
      <c r="B124">
        <v>1</v>
      </c>
    </row>
    <row r="125" spans="1:2" ht="15" customHeight="1">
      <c r="A125" t="s">
        <v>72</v>
      </c>
      <c r="B125">
        <v>1</v>
      </c>
    </row>
    <row r="126" spans="1:2" ht="15" customHeight="1">
      <c r="A126" t="s">
        <v>73</v>
      </c>
      <c r="B126">
        <v>1</v>
      </c>
    </row>
    <row r="127" spans="1:2" ht="15" customHeight="1">
      <c r="A127" t="s">
        <v>74</v>
      </c>
      <c r="B127">
        <v>1</v>
      </c>
    </row>
    <row r="128" spans="1:2" ht="15" customHeight="1">
      <c r="A128" t="s">
        <v>75</v>
      </c>
      <c r="B128">
        <v>1</v>
      </c>
    </row>
    <row r="129" spans="1:2" ht="15" customHeight="1">
      <c r="A129" t="s">
        <v>76</v>
      </c>
      <c r="B129">
        <v>0</v>
      </c>
    </row>
    <row r="130" spans="1:2" ht="15" customHeight="1">
      <c r="A130" t="s">
        <v>77</v>
      </c>
      <c r="B130">
        <v>1</v>
      </c>
    </row>
    <row r="131" spans="1:2" ht="15" customHeight="1">
      <c r="A131" t="s">
        <v>78</v>
      </c>
      <c r="B131">
        <v>1</v>
      </c>
    </row>
  </sheetData>
  <mergeCells count="19">
    <mergeCell ref="O11:AA11"/>
    <mergeCell ref="X1:AA3"/>
    <mergeCell ref="W7:W8"/>
    <mergeCell ref="D11:N11"/>
    <mergeCell ref="E7:E8"/>
    <mergeCell ref="K7:K8"/>
    <mergeCell ref="R8:T8"/>
    <mergeCell ref="Q7:Q8"/>
    <mergeCell ref="L7:N7"/>
    <mergeCell ref="X8:Z8"/>
    <mergeCell ref="F7:H7"/>
    <mergeCell ref="R7:T7"/>
    <mergeCell ref="X7:Z7"/>
    <mergeCell ref="A1:C5"/>
    <mergeCell ref="A6:C8"/>
    <mergeCell ref="D1:W3"/>
    <mergeCell ref="D6:AA6"/>
    <mergeCell ref="F8:H8"/>
    <mergeCell ref="L8:N8"/>
  </mergeCells>
  <hyperlinks>
    <hyperlink ref="AA5" r:id="rId1" location="Dashboard!A1" xr:uid="{00000000-0004-0000-0600-000000000000}"/>
    <hyperlink ref="C11" location="Dashboard!A1" display="الرئيسية" xr:uid="{00000000-0004-0000-0600-000001000000}"/>
    <hyperlink ref="C14" location="البلاغات_DB!A1" display="البلاغات" xr:uid="{00000000-0004-0000-0600-000002000000}"/>
    <hyperlink ref="C17" location="الإحالات_DB!A1" display="الإحالات" xr:uid="{00000000-0004-0000-0600-000003000000}"/>
    <hyperlink ref="C20" location="الدوريات_DB!A1" display="الدوريات" xr:uid="{00000000-0004-0000-0600-000004000000}"/>
    <hyperlink ref="C23" location="الدورات_DB!A1" display="الدورات" xr:uid="{00000000-0004-0000-0600-000005000000}"/>
    <hyperlink ref="C26" location="التمارين_DB!A1" display="التمارين" xr:uid="{00000000-0004-0000-0600-000006000000}"/>
    <hyperlink ref="C29" location="الزيارات_DB!A1" display="الزيارات" xr:uid="{00000000-0004-0000-0600-000007000000}"/>
    <hyperlink ref="C32" location="الاحتياجات_DB!A1" display="الاحتياجات" xr:uid="{00000000-0004-0000-0600-000008000000}"/>
    <hyperlink ref="C35" location="القوى_البشرية_DB!A1" display="القوى البشرية" xr:uid="{00000000-0004-0000-0600-000009000000}"/>
    <hyperlink ref="C38" location="المركبات_DB!A1" display="المركبات" xr:uid="{00000000-0004-0000-0600-00000A000000}"/>
    <hyperlink ref="C41" location="Dashboard!A1" display="الإعدادات" xr:uid="{00000000-0004-0000-0600-00000B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A580C"/>
  </sheetPr>
  <dimension ref="A1:AA153"/>
  <sheetViews>
    <sheetView showGridLines="0" rightToLeft="1" topLeftCell="A18" zoomScaleNormal="100" workbookViewId="0">
      <selection activeCell="C35" sqref="C35"/>
    </sheetView>
  </sheetViews>
  <sheetFormatPr defaultColWidth="8.6640625" defaultRowHeight="14.4"/>
  <cols>
    <col min="1" max="1" width="3" customWidth="1"/>
    <col min="2" max="2" width="4" customWidth="1"/>
    <col min="3" max="3" width="14" customWidth="1"/>
    <col min="4" max="4" width="2.5546875" bestFit="1" customWidth="1"/>
    <col min="5" max="5" width="9" bestFit="1" customWidth="1"/>
    <col min="6" max="6" width="9.21875" bestFit="1" customWidth="1"/>
    <col min="7" max="7" width="9.109375" bestFit="1" customWidth="1"/>
    <col min="8" max="8" width="14.109375" bestFit="1" customWidth="1"/>
    <col min="9" max="9" width="7.5546875" bestFit="1" customWidth="1"/>
    <col min="10" max="29" width="7" customWidth="1"/>
  </cols>
  <sheetData>
    <row r="1" spans="1:27" ht="24.75" customHeight="1">
      <c r="A1" s="72" t="s">
        <v>0</v>
      </c>
      <c r="B1" s="71"/>
      <c r="C1" s="71"/>
      <c r="D1" s="75" t="s">
        <v>192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85" t="s">
        <v>2</v>
      </c>
      <c r="Y1" s="71"/>
      <c r="Z1" s="71"/>
      <c r="AA1" s="71"/>
    </row>
    <row r="2" spans="1:27" ht="24.75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 spans="1:27" ht="19.5" customHeigh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</row>
    <row r="4" spans="1:27" ht="3.75" customHeight="1">
      <c r="A4" s="71"/>
      <c r="B4" s="71"/>
      <c r="C4" s="7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customHeight="1">
      <c r="A5" s="71"/>
      <c r="B5" s="71"/>
      <c r="C5" s="7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9" t="s">
        <v>90</v>
      </c>
    </row>
    <row r="6" spans="1:27" ht="21.75" customHeight="1">
      <c r="A6" s="73" t="s">
        <v>3</v>
      </c>
      <c r="B6" s="71"/>
      <c r="C6" s="71"/>
      <c r="D6" s="104" t="s">
        <v>193</v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 spans="1:27" ht="19.5" customHeight="1">
      <c r="A7" s="71"/>
      <c r="B7" s="71"/>
      <c r="C7" s="71"/>
      <c r="D7" s="25"/>
      <c r="E7" s="70" t="s">
        <v>23</v>
      </c>
      <c r="F7" s="87" t="s">
        <v>6</v>
      </c>
      <c r="G7" s="78"/>
      <c r="H7" s="79"/>
      <c r="I7" s="2"/>
      <c r="J7" s="4"/>
      <c r="K7" s="70" t="s">
        <v>111</v>
      </c>
      <c r="L7" s="82" t="s">
        <v>145</v>
      </c>
      <c r="M7" s="78"/>
      <c r="N7" s="79"/>
      <c r="O7" s="2"/>
      <c r="P7" s="5"/>
      <c r="Q7" s="70" t="s">
        <v>114</v>
      </c>
      <c r="R7" s="91" t="s">
        <v>115</v>
      </c>
      <c r="S7" s="78"/>
      <c r="T7" s="79"/>
      <c r="U7" s="2"/>
      <c r="V7" s="17"/>
      <c r="W7" s="70" t="s">
        <v>155</v>
      </c>
      <c r="X7" s="81" t="s">
        <v>194</v>
      </c>
      <c r="Y7" s="78"/>
      <c r="Z7" s="79"/>
      <c r="AA7" s="2"/>
    </row>
    <row r="8" spans="1:27" ht="19.5" customHeight="1">
      <c r="A8" s="71"/>
      <c r="B8" s="71"/>
      <c r="C8" s="71"/>
      <c r="D8" s="26"/>
      <c r="E8" s="71"/>
      <c r="F8" s="83" t="s">
        <v>195</v>
      </c>
      <c r="G8" s="71"/>
      <c r="H8" s="84"/>
      <c r="I8" s="2"/>
      <c r="J8" s="7"/>
      <c r="K8" s="71"/>
      <c r="L8" s="83" t="s">
        <v>169</v>
      </c>
      <c r="M8" s="71"/>
      <c r="N8" s="84"/>
      <c r="O8" s="2"/>
      <c r="P8" s="8"/>
      <c r="Q8" s="71"/>
      <c r="R8" s="83" t="s">
        <v>170</v>
      </c>
      <c r="S8" s="71"/>
      <c r="T8" s="84"/>
      <c r="U8" s="2"/>
      <c r="V8" s="20"/>
      <c r="W8" s="71"/>
      <c r="X8" s="83" t="s">
        <v>196</v>
      </c>
      <c r="Y8" s="71"/>
      <c r="Z8" s="84"/>
      <c r="AA8" s="2"/>
    </row>
    <row r="9" spans="1:27" ht="19.5" customHeight="1">
      <c r="A9" s="9"/>
      <c r="B9" s="9"/>
      <c r="C9" s="9"/>
      <c r="D9" s="27"/>
      <c r="E9" s="11"/>
      <c r="F9" s="11"/>
      <c r="G9" s="11"/>
      <c r="H9" s="12"/>
      <c r="I9" s="2"/>
      <c r="J9" s="13"/>
      <c r="K9" s="11"/>
      <c r="L9" s="11"/>
      <c r="M9" s="11"/>
      <c r="N9" s="12"/>
      <c r="O9" s="2"/>
      <c r="P9" s="14"/>
      <c r="Q9" s="11"/>
      <c r="R9" s="11"/>
      <c r="S9" s="11"/>
      <c r="T9" s="12"/>
      <c r="U9" s="2"/>
      <c r="V9" s="23"/>
      <c r="W9" s="11"/>
      <c r="X9" s="11"/>
      <c r="Y9" s="11"/>
      <c r="Z9" s="12"/>
      <c r="AA9" s="2"/>
    </row>
    <row r="10" spans="1:27" ht="15" customHeight="1">
      <c r="A10" s="15"/>
      <c r="B10" s="15"/>
      <c r="C10" s="1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1.75" customHeight="1">
      <c r="A11" s="15"/>
      <c r="B11" s="54" t="s">
        <v>13</v>
      </c>
      <c r="C11" s="55" t="s">
        <v>14</v>
      </c>
      <c r="D11" s="105" t="s">
        <v>197</v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</row>
    <row r="12" spans="1:27" ht="19.5" customHeight="1">
      <c r="A12" s="15"/>
      <c r="B12" s="56"/>
      <c r="C12" s="57"/>
      <c r="D12" s="42" t="s">
        <v>198</v>
      </c>
      <c r="E12" s="42" t="s">
        <v>64</v>
      </c>
      <c r="F12" s="42" t="s">
        <v>103</v>
      </c>
      <c r="G12" s="42" t="s">
        <v>164</v>
      </c>
      <c r="H12" s="42" t="s">
        <v>199</v>
      </c>
      <c r="I12" s="42" t="s">
        <v>200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8" customHeight="1">
      <c r="A13" s="15"/>
      <c r="B13" s="56"/>
      <c r="C13" s="57"/>
      <c r="D13" s="40">
        <v>1</v>
      </c>
      <c r="E13" s="40" t="s">
        <v>174</v>
      </c>
      <c r="F13" s="40" t="s">
        <v>104</v>
      </c>
      <c r="G13" s="40" t="s">
        <v>101</v>
      </c>
      <c r="H13" s="40" t="s">
        <v>201</v>
      </c>
      <c r="I13" s="40" t="s">
        <v>202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8" customHeight="1">
      <c r="A14" s="15"/>
      <c r="B14" s="54" t="s">
        <v>5</v>
      </c>
      <c r="C14" s="55" t="s">
        <v>22</v>
      </c>
      <c r="D14" s="41">
        <v>2</v>
      </c>
      <c r="E14" s="41" t="s">
        <v>175</v>
      </c>
      <c r="F14" s="41" t="s">
        <v>104</v>
      </c>
      <c r="G14" s="41" t="s">
        <v>102</v>
      </c>
      <c r="H14" s="41" t="s">
        <v>203</v>
      </c>
      <c r="I14" s="41" t="s">
        <v>204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8" customHeight="1">
      <c r="A15" s="15"/>
      <c r="B15" s="56"/>
      <c r="C15" s="57"/>
      <c r="D15" s="40">
        <v>3</v>
      </c>
      <c r="E15" s="40" t="s">
        <v>176</v>
      </c>
      <c r="F15" s="40" t="s">
        <v>104</v>
      </c>
      <c r="G15" s="40" t="s">
        <v>32</v>
      </c>
      <c r="H15" s="40" t="s">
        <v>205</v>
      </c>
      <c r="I15" s="40" t="s">
        <v>204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8" customHeight="1">
      <c r="A16" s="15"/>
      <c r="B16" s="56"/>
      <c r="C16" s="57"/>
      <c r="D16" s="41">
        <v>4</v>
      </c>
      <c r="E16" s="41" t="s">
        <v>177</v>
      </c>
      <c r="F16" s="41" t="s">
        <v>104</v>
      </c>
      <c r="G16" s="41" t="s">
        <v>101</v>
      </c>
      <c r="H16" s="41" t="s">
        <v>206</v>
      </c>
      <c r="I16" s="41" t="s">
        <v>204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8" customHeight="1">
      <c r="A17" s="15"/>
      <c r="B17" s="54" t="s">
        <v>7</v>
      </c>
      <c r="C17" s="55" t="s">
        <v>31</v>
      </c>
      <c r="D17" s="40">
        <v>5</v>
      </c>
      <c r="E17" s="40" t="s">
        <v>178</v>
      </c>
      <c r="F17" s="40" t="s">
        <v>104</v>
      </c>
      <c r="G17" s="40" t="s">
        <v>102</v>
      </c>
      <c r="H17" s="40" t="s">
        <v>207</v>
      </c>
      <c r="I17" s="40" t="s">
        <v>204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8" customHeight="1">
      <c r="A18" s="15"/>
      <c r="B18" s="56"/>
      <c r="C18" s="57"/>
      <c r="D18" s="41">
        <v>6</v>
      </c>
      <c r="E18" s="41" t="s">
        <v>179</v>
      </c>
      <c r="F18" s="41" t="s">
        <v>104</v>
      </c>
      <c r="G18" s="41" t="s">
        <v>32</v>
      </c>
      <c r="H18" s="41" t="s">
        <v>208</v>
      </c>
      <c r="I18" s="41" t="s">
        <v>204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8" customHeight="1">
      <c r="A19" s="15"/>
      <c r="B19" s="56"/>
      <c r="C19" s="57"/>
      <c r="D19" s="40">
        <v>7</v>
      </c>
      <c r="E19" s="40" t="s">
        <v>180</v>
      </c>
      <c r="F19" s="40" t="s">
        <v>104</v>
      </c>
      <c r="G19" s="40" t="s">
        <v>101</v>
      </c>
      <c r="H19" s="40" t="s">
        <v>209</v>
      </c>
      <c r="I19" s="40" t="s">
        <v>204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8" customHeight="1">
      <c r="A20" s="15"/>
      <c r="B20" s="54" t="s">
        <v>8</v>
      </c>
      <c r="C20" s="55" t="s">
        <v>32</v>
      </c>
      <c r="D20" s="41">
        <v>8</v>
      </c>
      <c r="E20" s="41" t="s">
        <v>181</v>
      </c>
      <c r="F20" s="41" t="s">
        <v>106</v>
      </c>
      <c r="G20" s="41" t="s">
        <v>102</v>
      </c>
      <c r="H20" s="41" t="s">
        <v>210</v>
      </c>
      <c r="I20" s="41" t="s">
        <v>204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8" customHeight="1">
      <c r="A21" s="15"/>
      <c r="B21" s="56"/>
      <c r="C21" s="57"/>
      <c r="D21" s="40">
        <v>9</v>
      </c>
      <c r="E21" s="40" t="s">
        <v>182</v>
      </c>
      <c r="F21" s="40" t="s">
        <v>106</v>
      </c>
      <c r="G21" s="40" t="s">
        <v>32</v>
      </c>
      <c r="H21" s="40" t="s">
        <v>211</v>
      </c>
      <c r="I21" s="40" t="s">
        <v>204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8" customHeight="1">
      <c r="A22" s="15"/>
      <c r="B22" s="56"/>
      <c r="C22" s="57"/>
      <c r="D22" s="41">
        <v>10</v>
      </c>
      <c r="E22" s="41" t="s">
        <v>183</v>
      </c>
      <c r="F22" s="41" t="s">
        <v>106</v>
      </c>
      <c r="G22" s="41" t="s">
        <v>101</v>
      </c>
      <c r="H22" s="41" t="s">
        <v>212</v>
      </c>
      <c r="I22" s="41" t="s">
        <v>204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8" customHeight="1">
      <c r="A23" s="15"/>
      <c r="B23" s="54" t="s">
        <v>15</v>
      </c>
      <c r="C23" s="55" t="s">
        <v>35</v>
      </c>
      <c r="D23" s="40">
        <v>11</v>
      </c>
      <c r="E23" s="40" t="s">
        <v>184</v>
      </c>
      <c r="F23" s="40" t="s">
        <v>106</v>
      </c>
      <c r="G23" s="40" t="s">
        <v>101</v>
      </c>
      <c r="H23" s="40" t="s">
        <v>201</v>
      </c>
      <c r="I23" s="40" t="s">
        <v>202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8" customHeight="1">
      <c r="A24" s="15"/>
      <c r="B24" s="56"/>
      <c r="C24" s="57"/>
      <c r="D24" s="41">
        <v>12</v>
      </c>
      <c r="E24" s="41" t="s">
        <v>185</v>
      </c>
      <c r="F24" s="41" t="s">
        <v>106</v>
      </c>
      <c r="G24" s="41" t="s">
        <v>102</v>
      </c>
      <c r="H24" s="41" t="s">
        <v>203</v>
      </c>
      <c r="I24" s="41" t="s">
        <v>204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8" customHeight="1">
      <c r="A25" s="15"/>
      <c r="B25" s="56"/>
      <c r="C25" s="57"/>
      <c r="D25" s="40">
        <v>13</v>
      </c>
      <c r="E25" s="40" t="s">
        <v>186</v>
      </c>
      <c r="F25" s="40" t="s">
        <v>106</v>
      </c>
      <c r="G25" s="40" t="s">
        <v>32</v>
      </c>
      <c r="H25" s="40" t="s">
        <v>205</v>
      </c>
      <c r="I25" s="40" t="s">
        <v>204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8" customHeight="1">
      <c r="A26" s="15"/>
      <c r="B26" s="54" t="s">
        <v>18</v>
      </c>
      <c r="C26" s="55" t="s">
        <v>36</v>
      </c>
      <c r="D26" s="41">
        <v>14</v>
      </c>
      <c r="E26" s="41" t="s">
        <v>187</v>
      </c>
      <c r="F26" s="41" t="s">
        <v>106</v>
      </c>
      <c r="G26" s="41" t="s">
        <v>101</v>
      </c>
      <c r="H26" s="41" t="s">
        <v>206</v>
      </c>
      <c r="I26" s="41" t="s">
        <v>204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8" customHeight="1">
      <c r="A27" s="15"/>
      <c r="B27" s="56"/>
      <c r="C27" s="57"/>
      <c r="D27" s="40">
        <v>15</v>
      </c>
      <c r="E27" s="40" t="s">
        <v>188</v>
      </c>
      <c r="F27" s="40" t="s">
        <v>105</v>
      </c>
      <c r="G27" s="40" t="s">
        <v>102</v>
      </c>
      <c r="H27" s="40" t="s">
        <v>207</v>
      </c>
      <c r="I27" s="40" t="s">
        <v>204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8" customHeight="1">
      <c r="A28" s="15"/>
      <c r="B28" s="56"/>
      <c r="C28" s="57"/>
      <c r="D28" s="41">
        <v>16</v>
      </c>
      <c r="E28" s="41" t="s">
        <v>189</v>
      </c>
      <c r="F28" s="41" t="s">
        <v>105</v>
      </c>
      <c r="G28" s="41" t="s">
        <v>32</v>
      </c>
      <c r="H28" s="41" t="s">
        <v>208</v>
      </c>
      <c r="I28" s="41" t="s">
        <v>204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8" customHeight="1">
      <c r="A29" s="15"/>
      <c r="B29" s="54" t="s">
        <v>16</v>
      </c>
      <c r="C29" s="55" t="s">
        <v>37</v>
      </c>
      <c r="D29" s="40">
        <v>17</v>
      </c>
      <c r="E29" s="40" t="s">
        <v>190</v>
      </c>
      <c r="F29" s="40" t="s">
        <v>105</v>
      </c>
      <c r="G29" s="40" t="s">
        <v>101</v>
      </c>
      <c r="H29" s="40" t="s">
        <v>209</v>
      </c>
      <c r="I29" s="40" t="s">
        <v>204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8" customHeight="1">
      <c r="A30" s="15"/>
      <c r="B30" s="56"/>
      <c r="C30" s="57"/>
      <c r="D30" s="41">
        <v>18</v>
      </c>
      <c r="E30" s="41" t="s">
        <v>65</v>
      </c>
      <c r="F30" s="41" t="s">
        <v>105</v>
      </c>
      <c r="G30" s="41" t="s">
        <v>102</v>
      </c>
      <c r="H30" s="41" t="s">
        <v>210</v>
      </c>
      <c r="I30" s="41" t="s">
        <v>204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8" customHeight="1">
      <c r="A31" s="15"/>
      <c r="B31" s="56"/>
      <c r="C31" s="57"/>
      <c r="D31" s="40">
        <v>19</v>
      </c>
      <c r="E31" s="40" t="s">
        <v>66</v>
      </c>
      <c r="F31" s="40" t="s">
        <v>105</v>
      </c>
      <c r="G31" s="40" t="s">
        <v>32</v>
      </c>
      <c r="H31" s="40" t="s">
        <v>211</v>
      </c>
      <c r="I31" s="40" t="s">
        <v>204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8" customHeight="1">
      <c r="A32" s="1"/>
      <c r="B32" s="68" t="s">
        <v>23</v>
      </c>
      <c r="C32" s="51" t="s">
        <v>28</v>
      </c>
      <c r="D32" s="41">
        <v>20</v>
      </c>
      <c r="E32" s="41" t="s">
        <v>67</v>
      </c>
      <c r="F32" s="41" t="s">
        <v>105</v>
      </c>
      <c r="G32" s="41" t="s">
        <v>101</v>
      </c>
      <c r="H32" s="41" t="s">
        <v>212</v>
      </c>
      <c r="I32" s="41" t="s">
        <v>204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8" customHeight="1">
      <c r="A33" s="1"/>
      <c r="B33" s="69"/>
      <c r="C33" s="53"/>
      <c r="D33" s="40">
        <v>21</v>
      </c>
      <c r="E33" s="40" t="s">
        <v>68</v>
      </c>
      <c r="F33" s="40" t="s">
        <v>105</v>
      </c>
      <c r="G33" s="40" t="s">
        <v>101</v>
      </c>
      <c r="H33" s="40" t="s">
        <v>201</v>
      </c>
      <c r="I33" s="40" t="s">
        <v>202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8" customHeight="1">
      <c r="A34" s="15"/>
      <c r="B34" s="69"/>
      <c r="C34" s="53"/>
      <c r="D34" s="41">
        <v>22</v>
      </c>
      <c r="E34" s="41" t="s">
        <v>69</v>
      </c>
      <c r="F34" s="41" t="s">
        <v>108</v>
      </c>
      <c r="G34" s="41" t="s">
        <v>102</v>
      </c>
      <c r="H34" s="41" t="s">
        <v>203</v>
      </c>
      <c r="I34" s="41" t="s">
        <v>204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8" customHeight="1">
      <c r="A35" s="15"/>
      <c r="B35" s="54" t="s">
        <v>24</v>
      </c>
      <c r="C35" s="55" t="s">
        <v>40</v>
      </c>
      <c r="D35" s="40">
        <v>23</v>
      </c>
      <c r="E35" s="40" t="s">
        <v>70</v>
      </c>
      <c r="F35" s="40" t="s">
        <v>108</v>
      </c>
      <c r="G35" s="40" t="s">
        <v>32</v>
      </c>
      <c r="H35" s="40" t="s">
        <v>205</v>
      </c>
      <c r="I35" s="40" t="s">
        <v>204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8" customHeight="1">
      <c r="A36" s="15"/>
      <c r="B36" s="56"/>
      <c r="C36" s="57"/>
      <c r="D36" s="41">
        <v>24</v>
      </c>
      <c r="E36" s="41" t="s">
        <v>71</v>
      </c>
      <c r="F36" s="41" t="s">
        <v>108</v>
      </c>
      <c r="G36" s="41" t="s">
        <v>101</v>
      </c>
      <c r="H36" s="41" t="s">
        <v>206</v>
      </c>
      <c r="I36" s="41" t="s">
        <v>204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8" customHeight="1">
      <c r="A37" s="15"/>
      <c r="B37" s="56"/>
      <c r="C37" s="57"/>
      <c r="D37" s="40">
        <v>25</v>
      </c>
      <c r="E37" s="40" t="s">
        <v>72</v>
      </c>
      <c r="F37" s="40" t="s">
        <v>108</v>
      </c>
      <c r="G37" s="40" t="s">
        <v>102</v>
      </c>
      <c r="H37" s="40" t="s">
        <v>207</v>
      </c>
      <c r="I37" s="40" t="s">
        <v>204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8" customHeight="1">
      <c r="A38" s="15"/>
      <c r="B38" s="54" t="s">
        <v>26</v>
      </c>
      <c r="C38" s="55" t="s">
        <v>41</v>
      </c>
      <c r="D38" s="41">
        <v>26</v>
      </c>
      <c r="E38" s="41" t="s">
        <v>73</v>
      </c>
      <c r="F38" s="41" t="s">
        <v>108</v>
      </c>
      <c r="G38" s="41" t="s">
        <v>32</v>
      </c>
      <c r="H38" s="41" t="s">
        <v>208</v>
      </c>
      <c r="I38" s="41" t="s">
        <v>204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8" customHeight="1">
      <c r="A39" s="15"/>
      <c r="B39" s="56"/>
      <c r="C39" s="57"/>
      <c r="D39" s="40">
        <v>27</v>
      </c>
      <c r="E39" s="40" t="s">
        <v>74</v>
      </c>
      <c r="F39" s="40" t="s">
        <v>108</v>
      </c>
      <c r="G39" s="40" t="s">
        <v>101</v>
      </c>
      <c r="H39" s="40" t="s">
        <v>209</v>
      </c>
      <c r="I39" s="40" t="s">
        <v>204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8" customHeight="1">
      <c r="A40" s="15"/>
      <c r="B40" s="56"/>
      <c r="C40" s="57"/>
      <c r="D40" s="41">
        <v>28</v>
      </c>
      <c r="E40" s="41" t="s">
        <v>75</v>
      </c>
      <c r="F40" s="41" t="s">
        <v>108</v>
      </c>
      <c r="G40" s="41" t="s">
        <v>102</v>
      </c>
      <c r="H40" s="41" t="s">
        <v>210</v>
      </c>
      <c r="I40" s="41" t="s">
        <v>204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8" customHeight="1">
      <c r="A41" s="15"/>
      <c r="B41" s="54" t="s">
        <v>42</v>
      </c>
      <c r="C41" s="55" t="s">
        <v>43</v>
      </c>
      <c r="D41" s="40">
        <v>29</v>
      </c>
      <c r="E41" s="40" t="s">
        <v>76</v>
      </c>
      <c r="F41" s="40" t="s">
        <v>107</v>
      </c>
      <c r="G41" s="40" t="s">
        <v>32</v>
      </c>
      <c r="H41" s="40" t="s">
        <v>211</v>
      </c>
      <c r="I41" s="40" t="s">
        <v>204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8" customHeight="1">
      <c r="A42" s="15"/>
      <c r="B42" s="56"/>
      <c r="C42" s="57"/>
      <c r="D42" s="41">
        <v>30</v>
      </c>
      <c r="E42" s="41" t="s">
        <v>77</v>
      </c>
      <c r="F42" s="41" t="s">
        <v>107</v>
      </c>
      <c r="G42" s="41" t="s">
        <v>101</v>
      </c>
      <c r="H42" s="41" t="s">
        <v>212</v>
      </c>
      <c r="I42" s="41" t="s">
        <v>204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8" customHeight="1">
      <c r="A43" s="15"/>
      <c r="B43" s="56"/>
      <c r="C43" s="57"/>
      <c r="D43" s="40">
        <v>31</v>
      </c>
      <c r="E43" s="40" t="s">
        <v>78</v>
      </c>
      <c r="F43" s="40" t="s">
        <v>107</v>
      </c>
      <c r="G43" s="40" t="s">
        <v>101</v>
      </c>
      <c r="H43" s="40" t="s">
        <v>201</v>
      </c>
      <c r="I43" s="40" t="s">
        <v>202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" customHeight="1">
      <c r="A44" s="15"/>
      <c r="B44" s="15"/>
      <c r="C44" s="15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" customHeight="1">
      <c r="A45" s="15"/>
      <c r="B45" s="15"/>
      <c r="C45" s="1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" customHeight="1">
      <c r="A46" s="15"/>
      <c r="B46" s="15"/>
      <c r="C46" s="15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" customHeight="1">
      <c r="A47" s="15"/>
      <c r="B47" s="15"/>
      <c r="C47" s="1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21.75" customHeight="1">
      <c r="A48" s="15"/>
      <c r="B48" s="15"/>
      <c r="C48" s="15"/>
      <c r="D48" s="105" t="s">
        <v>213</v>
      </c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" customHeight="1">
      <c r="A49" s="15"/>
      <c r="B49" s="15"/>
      <c r="C49" s="1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" customHeight="1">
      <c r="A50" s="15"/>
      <c r="B50" s="15"/>
      <c r="C50" s="15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" customHeight="1">
      <c r="A51" s="15"/>
      <c r="B51" s="15"/>
      <c r="C51" s="15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" customHeight="1">
      <c r="A52" s="15"/>
      <c r="B52" s="15"/>
      <c r="C52" s="15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" customHeight="1">
      <c r="A53" s="15"/>
      <c r="B53" s="15"/>
      <c r="C53" s="1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" customHeight="1">
      <c r="A54" s="15"/>
      <c r="B54" s="15"/>
      <c r="C54" s="15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" customHeight="1">
      <c r="A55" s="15"/>
      <c r="B55" s="15"/>
      <c r="C55" s="15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" customHeight="1">
      <c r="A56" s="15"/>
      <c r="B56" s="15"/>
      <c r="C56" s="15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" customHeight="1">
      <c r="A57" s="15"/>
      <c r="B57" s="15"/>
      <c r="C57" s="1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" customHeight="1">
      <c r="A58" s="15"/>
      <c r="B58" s="15"/>
      <c r="C58" s="1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" customHeight="1">
      <c r="A59" s="15"/>
      <c r="B59" s="15"/>
      <c r="C59" s="1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" customHeight="1"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150" spans="1:2" ht="15" customHeight="1">
      <c r="A150" s="28" t="s">
        <v>164</v>
      </c>
      <c r="B150" s="28" t="s">
        <v>47</v>
      </c>
    </row>
    <row r="151" spans="1:2" ht="15" customHeight="1">
      <c r="A151" s="28" t="s">
        <v>101</v>
      </c>
      <c r="B151">
        <v>13</v>
      </c>
    </row>
    <row r="152" spans="1:2" ht="15" customHeight="1">
      <c r="A152" s="28" t="s">
        <v>102</v>
      </c>
      <c r="B152">
        <v>9</v>
      </c>
    </row>
    <row r="153" spans="1:2" ht="15" customHeight="1">
      <c r="A153" s="28" t="s">
        <v>32</v>
      </c>
      <c r="B153">
        <v>9</v>
      </c>
    </row>
  </sheetData>
  <mergeCells count="19">
    <mergeCell ref="D11:AA11"/>
    <mergeCell ref="X1:AA3"/>
    <mergeCell ref="W7:W8"/>
    <mergeCell ref="D48:N48"/>
    <mergeCell ref="E7:E8"/>
    <mergeCell ref="K7:K8"/>
    <mergeCell ref="R8:T8"/>
    <mergeCell ref="Q7:Q8"/>
    <mergeCell ref="L7:N7"/>
    <mergeCell ref="X8:Z8"/>
    <mergeCell ref="F7:H7"/>
    <mergeCell ref="R7:T7"/>
    <mergeCell ref="X7:Z7"/>
    <mergeCell ref="A1:C5"/>
    <mergeCell ref="A6:C8"/>
    <mergeCell ref="D1:W3"/>
    <mergeCell ref="D6:AA6"/>
    <mergeCell ref="F8:H8"/>
    <mergeCell ref="L8:N8"/>
  </mergeCells>
  <hyperlinks>
    <hyperlink ref="AA5" r:id="rId1" location="Dashboard!A1" xr:uid="{00000000-0004-0000-0700-000000000000}"/>
    <hyperlink ref="C11" location="Dashboard!A1" display="الرئيسية" xr:uid="{00000000-0004-0000-0700-000001000000}"/>
    <hyperlink ref="C14" location="البلاغات_DB!A1" display="البلاغات" xr:uid="{00000000-0004-0000-0700-000002000000}"/>
    <hyperlink ref="C17" location="الإحالات_DB!A1" display="الإحالات" xr:uid="{00000000-0004-0000-0700-000003000000}"/>
    <hyperlink ref="C20" location="الدوريات_DB!A1" display="الدوريات" xr:uid="{00000000-0004-0000-0700-000004000000}"/>
    <hyperlink ref="C23" location="الدورات_DB!A1" display="الدورات" xr:uid="{00000000-0004-0000-0700-000005000000}"/>
    <hyperlink ref="C26" location="التمارين_DB!A1" display="التمارين" xr:uid="{00000000-0004-0000-0700-000006000000}"/>
    <hyperlink ref="C29" location="الزيارات_DB!A1" display="الزيارات" xr:uid="{00000000-0004-0000-0700-000007000000}"/>
    <hyperlink ref="C32" location="الاحتياجات_DB!A1" display="الاحتياجات" xr:uid="{00000000-0004-0000-0700-000008000000}"/>
    <hyperlink ref="C35" location="القوى_البشرية_DB!A1" display="القوى البشرية" xr:uid="{00000000-0004-0000-0700-000009000000}"/>
    <hyperlink ref="C38" location="المركبات_DB!A1" display="المركبات" xr:uid="{00000000-0004-0000-0700-00000A000000}"/>
    <hyperlink ref="C41" location="Dashboard!A1" display="الإعدادات" xr:uid="{00000000-0004-0000-0700-00000B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6A34A"/>
  </sheetPr>
  <dimension ref="A1:AA123"/>
  <sheetViews>
    <sheetView showGridLines="0" rightToLeft="1" topLeftCell="A20" zoomScaleNormal="100" workbookViewId="0">
      <selection activeCell="C38" sqref="C38"/>
    </sheetView>
  </sheetViews>
  <sheetFormatPr defaultColWidth="8.6640625" defaultRowHeight="14.4"/>
  <cols>
    <col min="1" max="1" width="3" customWidth="1"/>
    <col min="2" max="2" width="4" customWidth="1"/>
    <col min="3" max="3" width="14" customWidth="1"/>
    <col min="4" max="4" width="9" bestFit="1" customWidth="1"/>
    <col min="5" max="5" width="9.21875" bestFit="1" customWidth="1"/>
    <col min="6" max="29" width="7" customWidth="1"/>
  </cols>
  <sheetData>
    <row r="1" spans="1:27" ht="24.75" customHeight="1">
      <c r="A1" s="72" t="s">
        <v>0</v>
      </c>
      <c r="B1" s="71"/>
      <c r="C1" s="71"/>
      <c r="D1" s="75" t="s">
        <v>214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85" t="s">
        <v>2</v>
      </c>
      <c r="Y1" s="71"/>
      <c r="Z1" s="71"/>
      <c r="AA1" s="71"/>
    </row>
    <row r="2" spans="1:27" ht="24.75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 spans="1:27" ht="19.5" customHeigh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</row>
    <row r="4" spans="1:27" ht="3.75" customHeight="1">
      <c r="A4" s="71"/>
      <c r="B4" s="71"/>
      <c r="C4" s="7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customHeight="1">
      <c r="A5" s="71"/>
      <c r="B5" s="71"/>
      <c r="C5" s="7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9" t="s">
        <v>90</v>
      </c>
    </row>
    <row r="6" spans="1:27" ht="21.75" customHeight="1">
      <c r="A6" s="73" t="s">
        <v>3</v>
      </c>
      <c r="B6" s="71"/>
      <c r="C6" s="71"/>
      <c r="D6" s="102" t="s">
        <v>215</v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 spans="1:27" ht="19.5" customHeight="1">
      <c r="A7" s="71"/>
      <c r="B7" s="71"/>
      <c r="C7" s="71"/>
      <c r="D7" s="18"/>
      <c r="E7" s="70" t="s">
        <v>24</v>
      </c>
      <c r="F7" s="89" t="s">
        <v>25</v>
      </c>
      <c r="G7" s="78"/>
      <c r="H7" s="79"/>
      <c r="I7" s="2"/>
      <c r="J7" s="31"/>
      <c r="K7" s="70" t="s">
        <v>114</v>
      </c>
      <c r="L7" s="96" t="s">
        <v>216</v>
      </c>
      <c r="M7" s="78"/>
      <c r="N7" s="79"/>
      <c r="O7" s="2"/>
      <c r="P7" s="25"/>
      <c r="Q7" s="70" t="s">
        <v>217</v>
      </c>
      <c r="R7" s="87" t="s">
        <v>218</v>
      </c>
      <c r="S7" s="78"/>
      <c r="T7" s="79"/>
      <c r="U7" s="2"/>
      <c r="V7" s="3"/>
      <c r="W7" s="70" t="s">
        <v>219</v>
      </c>
      <c r="X7" s="86" t="s">
        <v>220</v>
      </c>
      <c r="Y7" s="78"/>
      <c r="Z7" s="79"/>
      <c r="AA7" s="2"/>
    </row>
    <row r="8" spans="1:27" ht="19.5" customHeight="1">
      <c r="A8" s="71"/>
      <c r="B8" s="71"/>
      <c r="C8" s="71"/>
      <c r="D8" s="21"/>
      <c r="E8" s="71"/>
      <c r="F8" s="83" t="s">
        <v>221</v>
      </c>
      <c r="G8" s="71"/>
      <c r="H8" s="84"/>
      <c r="I8" s="2"/>
      <c r="J8" s="33"/>
      <c r="K8" s="71"/>
      <c r="L8" s="83" t="s">
        <v>222</v>
      </c>
      <c r="M8" s="71"/>
      <c r="N8" s="84"/>
      <c r="O8" s="2"/>
      <c r="P8" s="26"/>
      <c r="Q8" s="71"/>
      <c r="R8" s="83" t="s">
        <v>223</v>
      </c>
      <c r="S8" s="71"/>
      <c r="T8" s="84"/>
      <c r="U8" s="2"/>
      <c r="V8" s="6"/>
      <c r="W8" s="71"/>
      <c r="X8" s="83" t="s">
        <v>224</v>
      </c>
      <c r="Y8" s="71"/>
      <c r="Z8" s="84"/>
      <c r="AA8" s="2"/>
    </row>
    <row r="9" spans="1:27" ht="19.5" customHeight="1">
      <c r="A9" s="9"/>
      <c r="B9" s="9"/>
      <c r="C9" s="9"/>
      <c r="D9" s="24"/>
      <c r="E9" s="11"/>
      <c r="F9" s="11"/>
      <c r="G9" s="11"/>
      <c r="H9" s="12"/>
      <c r="I9" s="2"/>
      <c r="J9" s="35"/>
      <c r="K9" s="11"/>
      <c r="L9" s="11"/>
      <c r="M9" s="11"/>
      <c r="N9" s="12"/>
      <c r="O9" s="2"/>
      <c r="P9" s="27"/>
      <c r="Q9" s="11"/>
      <c r="R9" s="11"/>
      <c r="S9" s="11"/>
      <c r="T9" s="12"/>
      <c r="U9" s="2"/>
      <c r="V9" s="10"/>
      <c r="W9" s="11"/>
      <c r="X9" s="11"/>
      <c r="Y9" s="11"/>
      <c r="Z9" s="12"/>
      <c r="AA9" s="2"/>
    </row>
    <row r="10" spans="1:27" ht="15" customHeight="1">
      <c r="A10" s="15"/>
      <c r="B10" s="15"/>
      <c r="C10" s="1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1.75" customHeight="1">
      <c r="A11" s="15"/>
      <c r="B11" s="54" t="s">
        <v>13</v>
      </c>
      <c r="C11" s="55" t="s">
        <v>14</v>
      </c>
      <c r="D11" s="80" t="s">
        <v>225</v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105" t="s">
        <v>226</v>
      </c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</row>
    <row r="12" spans="1:27" ht="15" customHeight="1">
      <c r="A12" s="15"/>
      <c r="B12" s="56"/>
      <c r="C12" s="57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 customHeight="1">
      <c r="A13" s="15"/>
      <c r="B13" s="56"/>
      <c r="C13" s="57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" customHeight="1">
      <c r="A14" s="15"/>
      <c r="B14" s="54" t="s">
        <v>5</v>
      </c>
      <c r="C14" s="55" t="s">
        <v>22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" customHeight="1">
      <c r="A15" s="15"/>
      <c r="B15" s="56"/>
      <c r="C15" s="5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" customHeight="1">
      <c r="A16" s="15"/>
      <c r="B16" s="56"/>
      <c r="C16" s="57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" customHeight="1">
      <c r="A17" s="15"/>
      <c r="B17" s="54" t="s">
        <v>7</v>
      </c>
      <c r="C17" s="55" t="s">
        <v>31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" customHeight="1">
      <c r="A18" s="15"/>
      <c r="B18" s="56"/>
      <c r="C18" s="57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" customHeight="1">
      <c r="A19" s="15"/>
      <c r="B19" s="56"/>
      <c r="C19" s="57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" customHeight="1">
      <c r="A20" s="15"/>
      <c r="B20" s="54" t="s">
        <v>8</v>
      </c>
      <c r="C20" s="55" t="s">
        <v>32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" customHeight="1">
      <c r="A21" s="15"/>
      <c r="B21" s="56"/>
      <c r="C21" s="57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" customHeight="1">
      <c r="A22" s="15"/>
      <c r="B22" s="56"/>
      <c r="C22" s="57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" customHeight="1">
      <c r="A23" s="15"/>
      <c r="B23" s="54" t="s">
        <v>15</v>
      </c>
      <c r="C23" s="55" t="s">
        <v>35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" customHeight="1">
      <c r="A24" s="15"/>
      <c r="B24" s="56"/>
      <c r="C24" s="5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" customHeight="1">
      <c r="A25" s="15"/>
      <c r="B25" s="56"/>
      <c r="C25" s="57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" customHeight="1">
      <c r="A26" s="15"/>
      <c r="B26" s="54" t="s">
        <v>18</v>
      </c>
      <c r="C26" s="55" t="s">
        <v>36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" customHeight="1">
      <c r="A27" s="15"/>
      <c r="B27" s="56"/>
      <c r="C27" s="5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" customHeight="1">
      <c r="A28" s="15"/>
      <c r="B28" s="56"/>
      <c r="C28" s="57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" customHeight="1">
      <c r="A29" s="15"/>
      <c r="B29" s="54" t="s">
        <v>16</v>
      </c>
      <c r="C29" s="55" t="s">
        <v>37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21.75" customHeight="1">
      <c r="A30" s="15"/>
      <c r="B30" s="56"/>
      <c r="C30" s="57"/>
      <c r="D30" s="88" t="s">
        <v>227</v>
      </c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</row>
    <row r="31" spans="1:27" ht="19.5" customHeight="1">
      <c r="A31" s="15"/>
      <c r="B31" s="56"/>
      <c r="C31" s="57"/>
      <c r="D31" s="43" t="s">
        <v>64</v>
      </c>
      <c r="E31" s="43" t="s">
        <v>103</v>
      </c>
      <c r="F31" s="43" t="s">
        <v>228</v>
      </c>
      <c r="G31" s="43" t="s">
        <v>229</v>
      </c>
      <c r="H31" s="43" t="s">
        <v>230</v>
      </c>
      <c r="I31" s="43" t="s">
        <v>231</v>
      </c>
      <c r="J31" s="43" t="s">
        <v>232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8" customHeight="1">
      <c r="A32" s="15"/>
      <c r="B32" s="54" t="s">
        <v>23</v>
      </c>
      <c r="C32" s="55" t="s">
        <v>28</v>
      </c>
      <c r="D32" s="40" t="s">
        <v>174</v>
      </c>
      <c r="E32" s="40" t="s">
        <v>104</v>
      </c>
      <c r="F32" s="40">
        <v>90</v>
      </c>
      <c r="G32" s="40">
        <v>2</v>
      </c>
      <c r="H32" s="40">
        <v>3</v>
      </c>
      <c r="I32" s="40">
        <v>5</v>
      </c>
      <c r="J32" s="40">
        <v>85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8" customHeight="1">
      <c r="A33" s="15"/>
      <c r="B33" s="56"/>
      <c r="C33" s="57"/>
      <c r="D33" s="41" t="s">
        <v>175</v>
      </c>
      <c r="E33" s="41" t="s">
        <v>104</v>
      </c>
      <c r="F33" s="41">
        <v>90</v>
      </c>
      <c r="G33" s="41">
        <v>2</v>
      </c>
      <c r="H33" s="41">
        <v>2</v>
      </c>
      <c r="I33" s="41">
        <v>4</v>
      </c>
      <c r="J33" s="41">
        <v>86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8" customHeight="1">
      <c r="A34" s="15"/>
      <c r="B34" s="56"/>
      <c r="C34" s="57"/>
      <c r="D34" s="40" t="s">
        <v>176</v>
      </c>
      <c r="E34" s="40" t="s">
        <v>104</v>
      </c>
      <c r="F34" s="40">
        <v>90</v>
      </c>
      <c r="G34" s="40">
        <v>3</v>
      </c>
      <c r="H34" s="40">
        <v>4</v>
      </c>
      <c r="I34" s="40">
        <v>7</v>
      </c>
      <c r="J34" s="40">
        <v>83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8" customHeight="1">
      <c r="A35" s="1"/>
      <c r="B35" s="60" t="s">
        <v>24</v>
      </c>
      <c r="C35" s="51" t="s">
        <v>40</v>
      </c>
      <c r="D35" s="41" t="s">
        <v>177</v>
      </c>
      <c r="E35" s="41" t="s">
        <v>104</v>
      </c>
      <c r="F35" s="41">
        <v>90</v>
      </c>
      <c r="G35" s="41">
        <v>3</v>
      </c>
      <c r="H35" s="41">
        <v>5</v>
      </c>
      <c r="I35" s="41">
        <v>8</v>
      </c>
      <c r="J35" s="41">
        <v>82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8" customHeight="1">
      <c r="A36" s="1"/>
      <c r="B36" s="61"/>
      <c r="C36" s="53"/>
      <c r="D36" s="40" t="s">
        <v>178</v>
      </c>
      <c r="E36" s="40" t="s">
        <v>104</v>
      </c>
      <c r="F36" s="40">
        <v>90</v>
      </c>
      <c r="G36" s="40">
        <v>7</v>
      </c>
      <c r="H36" s="40">
        <v>4</v>
      </c>
      <c r="I36" s="40">
        <v>11</v>
      </c>
      <c r="J36" s="40">
        <v>79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8" customHeight="1">
      <c r="A37" s="15"/>
      <c r="B37" s="61"/>
      <c r="C37" s="53"/>
      <c r="D37" s="41" t="s">
        <v>179</v>
      </c>
      <c r="E37" s="41" t="s">
        <v>104</v>
      </c>
      <c r="F37" s="41">
        <v>90</v>
      </c>
      <c r="G37" s="41">
        <v>7</v>
      </c>
      <c r="H37" s="41">
        <v>7</v>
      </c>
      <c r="I37" s="41">
        <v>14</v>
      </c>
      <c r="J37" s="41">
        <v>76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8" customHeight="1">
      <c r="A38" s="15"/>
      <c r="B38" s="54" t="s">
        <v>26</v>
      </c>
      <c r="C38" s="55" t="s">
        <v>41</v>
      </c>
      <c r="D38" s="40" t="s">
        <v>180</v>
      </c>
      <c r="E38" s="40" t="s">
        <v>104</v>
      </c>
      <c r="F38" s="40">
        <v>90</v>
      </c>
      <c r="G38" s="40">
        <v>6</v>
      </c>
      <c r="H38" s="40">
        <v>6</v>
      </c>
      <c r="I38" s="40">
        <v>12</v>
      </c>
      <c r="J38" s="40">
        <v>78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8" customHeight="1">
      <c r="A39" s="15"/>
      <c r="B39" s="56"/>
      <c r="C39" s="57"/>
      <c r="D39" s="41" t="s">
        <v>181</v>
      </c>
      <c r="E39" s="41" t="s">
        <v>106</v>
      </c>
      <c r="F39" s="41">
        <v>90</v>
      </c>
      <c r="G39" s="41">
        <v>4</v>
      </c>
      <c r="H39" s="41">
        <v>5</v>
      </c>
      <c r="I39" s="41">
        <v>9</v>
      </c>
      <c r="J39" s="41">
        <v>81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8" customHeight="1">
      <c r="A40" s="15"/>
      <c r="B40" s="56"/>
      <c r="C40" s="57"/>
      <c r="D40" s="40" t="s">
        <v>182</v>
      </c>
      <c r="E40" s="40" t="s">
        <v>106</v>
      </c>
      <c r="F40" s="40">
        <v>90</v>
      </c>
      <c r="G40" s="40">
        <v>2</v>
      </c>
      <c r="H40" s="40">
        <v>3</v>
      </c>
      <c r="I40" s="40">
        <v>5</v>
      </c>
      <c r="J40" s="40">
        <v>85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8" customHeight="1">
      <c r="A41" s="15"/>
      <c r="B41" s="54" t="s">
        <v>42</v>
      </c>
      <c r="C41" s="55" t="s">
        <v>43</v>
      </c>
      <c r="D41" s="41" t="s">
        <v>183</v>
      </c>
      <c r="E41" s="41" t="s">
        <v>106</v>
      </c>
      <c r="F41" s="41">
        <v>90</v>
      </c>
      <c r="G41" s="41">
        <v>2</v>
      </c>
      <c r="H41" s="41">
        <v>2</v>
      </c>
      <c r="I41" s="41">
        <v>4</v>
      </c>
      <c r="J41" s="41">
        <v>86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8" customHeight="1">
      <c r="A42" s="15"/>
      <c r="B42" s="56"/>
      <c r="C42" s="57"/>
      <c r="D42" s="40" t="s">
        <v>184</v>
      </c>
      <c r="E42" s="40" t="s">
        <v>106</v>
      </c>
      <c r="F42" s="40">
        <v>90</v>
      </c>
      <c r="G42" s="40">
        <v>3</v>
      </c>
      <c r="H42" s="40">
        <v>4</v>
      </c>
      <c r="I42" s="40">
        <v>7</v>
      </c>
      <c r="J42" s="40">
        <v>83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8" customHeight="1">
      <c r="A43" s="15"/>
      <c r="B43" s="56"/>
      <c r="C43" s="57"/>
      <c r="D43" s="41" t="s">
        <v>185</v>
      </c>
      <c r="E43" s="41" t="s">
        <v>106</v>
      </c>
      <c r="F43" s="41">
        <v>90</v>
      </c>
      <c r="G43" s="41">
        <v>3</v>
      </c>
      <c r="H43" s="41">
        <v>5</v>
      </c>
      <c r="I43" s="41">
        <v>8</v>
      </c>
      <c r="J43" s="41">
        <v>82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8" customHeight="1">
      <c r="A44" s="15"/>
      <c r="B44" s="15"/>
      <c r="C44" s="15"/>
      <c r="D44" s="40" t="s">
        <v>186</v>
      </c>
      <c r="E44" s="40" t="s">
        <v>106</v>
      </c>
      <c r="F44" s="40">
        <v>90</v>
      </c>
      <c r="G44" s="40">
        <v>7</v>
      </c>
      <c r="H44" s="40">
        <v>4</v>
      </c>
      <c r="I44" s="40">
        <v>11</v>
      </c>
      <c r="J44" s="40">
        <v>79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8" customHeight="1">
      <c r="A45" s="15"/>
      <c r="B45" s="15"/>
      <c r="C45" s="15"/>
      <c r="D45" s="41" t="s">
        <v>187</v>
      </c>
      <c r="E45" s="41" t="s">
        <v>106</v>
      </c>
      <c r="F45" s="41">
        <v>90</v>
      </c>
      <c r="G45" s="41">
        <v>7</v>
      </c>
      <c r="H45" s="41">
        <v>7</v>
      </c>
      <c r="I45" s="41">
        <v>14</v>
      </c>
      <c r="J45" s="41">
        <v>76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8" customHeight="1">
      <c r="A46" s="15"/>
      <c r="B46" s="15"/>
      <c r="C46" s="15"/>
      <c r="D46" s="40" t="s">
        <v>188</v>
      </c>
      <c r="E46" s="40" t="s">
        <v>105</v>
      </c>
      <c r="F46" s="40">
        <v>90</v>
      </c>
      <c r="G46" s="40">
        <v>6</v>
      </c>
      <c r="H46" s="40">
        <v>6</v>
      </c>
      <c r="I46" s="40">
        <v>12</v>
      </c>
      <c r="J46" s="40">
        <v>78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8" customHeight="1">
      <c r="A47" s="15"/>
      <c r="B47" s="15"/>
      <c r="C47" s="15"/>
      <c r="D47" s="41" t="s">
        <v>189</v>
      </c>
      <c r="E47" s="41" t="s">
        <v>105</v>
      </c>
      <c r="F47" s="41">
        <v>90</v>
      </c>
      <c r="G47" s="41">
        <v>4</v>
      </c>
      <c r="H47" s="41">
        <v>5</v>
      </c>
      <c r="I47" s="41">
        <v>9</v>
      </c>
      <c r="J47" s="41">
        <v>81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8" customHeight="1">
      <c r="A48" s="15"/>
      <c r="B48" s="15"/>
      <c r="C48" s="15"/>
      <c r="D48" s="40" t="s">
        <v>190</v>
      </c>
      <c r="E48" s="40" t="s">
        <v>105</v>
      </c>
      <c r="F48" s="40">
        <v>90</v>
      </c>
      <c r="G48" s="40">
        <v>2</v>
      </c>
      <c r="H48" s="40">
        <v>3</v>
      </c>
      <c r="I48" s="40">
        <v>5</v>
      </c>
      <c r="J48" s="40">
        <v>85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8" customHeight="1">
      <c r="A49" s="15"/>
      <c r="B49" s="15"/>
      <c r="C49" s="15"/>
      <c r="D49" s="41" t="s">
        <v>65</v>
      </c>
      <c r="E49" s="41" t="s">
        <v>105</v>
      </c>
      <c r="F49" s="41">
        <v>90</v>
      </c>
      <c r="G49" s="41">
        <v>2</v>
      </c>
      <c r="H49" s="41">
        <v>2</v>
      </c>
      <c r="I49" s="41">
        <v>4</v>
      </c>
      <c r="J49" s="41">
        <v>86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8" customHeight="1">
      <c r="A50" s="15"/>
      <c r="B50" s="15"/>
      <c r="C50" s="15"/>
      <c r="D50" s="40" t="s">
        <v>66</v>
      </c>
      <c r="E50" s="40" t="s">
        <v>105</v>
      </c>
      <c r="F50" s="40">
        <v>90</v>
      </c>
      <c r="G50" s="40">
        <v>3</v>
      </c>
      <c r="H50" s="40">
        <v>4</v>
      </c>
      <c r="I50" s="40">
        <v>7</v>
      </c>
      <c r="J50" s="40">
        <v>83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8" customHeight="1">
      <c r="A51" s="15"/>
      <c r="B51" s="15"/>
      <c r="C51" s="15"/>
      <c r="D51" s="41" t="s">
        <v>67</v>
      </c>
      <c r="E51" s="41" t="s">
        <v>105</v>
      </c>
      <c r="F51" s="41">
        <v>90</v>
      </c>
      <c r="G51" s="41">
        <v>3</v>
      </c>
      <c r="H51" s="41">
        <v>5</v>
      </c>
      <c r="I51" s="41">
        <v>8</v>
      </c>
      <c r="J51" s="41">
        <v>82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8" customHeight="1">
      <c r="A52" s="15"/>
      <c r="B52" s="15"/>
      <c r="C52" s="15"/>
      <c r="D52" s="40" t="s">
        <v>68</v>
      </c>
      <c r="E52" s="40" t="s">
        <v>105</v>
      </c>
      <c r="F52" s="40">
        <v>90</v>
      </c>
      <c r="G52" s="40">
        <v>7</v>
      </c>
      <c r="H52" s="40">
        <v>4</v>
      </c>
      <c r="I52" s="40">
        <v>11</v>
      </c>
      <c r="J52" s="40">
        <v>79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8" customHeight="1">
      <c r="A53" s="15"/>
      <c r="B53" s="15"/>
      <c r="C53" s="15"/>
      <c r="D53" s="41" t="s">
        <v>69</v>
      </c>
      <c r="E53" s="41" t="s">
        <v>108</v>
      </c>
      <c r="F53" s="41">
        <v>90</v>
      </c>
      <c r="G53" s="41">
        <v>7</v>
      </c>
      <c r="H53" s="41">
        <v>7</v>
      </c>
      <c r="I53" s="41">
        <v>14</v>
      </c>
      <c r="J53" s="41">
        <v>76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8" customHeight="1">
      <c r="A54" s="15"/>
      <c r="B54" s="15"/>
      <c r="C54" s="15"/>
      <c r="D54" s="40" t="s">
        <v>70</v>
      </c>
      <c r="E54" s="40" t="s">
        <v>108</v>
      </c>
      <c r="F54" s="40">
        <v>90</v>
      </c>
      <c r="G54" s="40">
        <v>6</v>
      </c>
      <c r="H54" s="40">
        <v>6</v>
      </c>
      <c r="I54" s="40">
        <v>12</v>
      </c>
      <c r="J54" s="40">
        <v>78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8" customHeight="1">
      <c r="A55" s="15"/>
      <c r="B55" s="15"/>
      <c r="C55" s="15"/>
      <c r="D55" s="41" t="s">
        <v>71</v>
      </c>
      <c r="E55" s="41" t="s">
        <v>108</v>
      </c>
      <c r="F55" s="41">
        <v>90</v>
      </c>
      <c r="G55" s="41">
        <v>4</v>
      </c>
      <c r="H55" s="41">
        <v>5</v>
      </c>
      <c r="I55" s="41">
        <v>9</v>
      </c>
      <c r="J55" s="41">
        <v>81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8" customHeight="1">
      <c r="A56" s="15"/>
      <c r="B56" s="15"/>
      <c r="C56" s="15"/>
      <c r="D56" s="40" t="s">
        <v>72</v>
      </c>
      <c r="E56" s="40" t="s">
        <v>108</v>
      </c>
      <c r="F56" s="40">
        <v>90</v>
      </c>
      <c r="G56" s="40">
        <v>2</v>
      </c>
      <c r="H56" s="40">
        <v>3</v>
      </c>
      <c r="I56" s="40">
        <v>5</v>
      </c>
      <c r="J56" s="40">
        <v>85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8" customHeight="1">
      <c r="A57" s="15"/>
      <c r="B57" s="15"/>
      <c r="C57" s="15"/>
      <c r="D57" s="41" t="s">
        <v>73</v>
      </c>
      <c r="E57" s="41" t="s">
        <v>108</v>
      </c>
      <c r="F57" s="41">
        <v>90</v>
      </c>
      <c r="G57" s="41">
        <v>2</v>
      </c>
      <c r="H57" s="41">
        <v>2</v>
      </c>
      <c r="I57" s="41">
        <v>4</v>
      </c>
      <c r="J57" s="41">
        <v>86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8" customHeight="1">
      <c r="A58" s="15"/>
      <c r="B58" s="15"/>
      <c r="C58" s="15"/>
      <c r="D58" s="40" t="s">
        <v>74</v>
      </c>
      <c r="E58" s="40" t="s">
        <v>108</v>
      </c>
      <c r="F58" s="40">
        <v>90</v>
      </c>
      <c r="G58" s="40">
        <v>3</v>
      </c>
      <c r="H58" s="40">
        <v>4</v>
      </c>
      <c r="I58" s="40">
        <v>7</v>
      </c>
      <c r="J58" s="40">
        <v>83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8" customHeight="1">
      <c r="A59" s="15"/>
      <c r="B59" s="15"/>
      <c r="C59" s="15"/>
      <c r="D59" s="41" t="s">
        <v>75</v>
      </c>
      <c r="E59" s="41" t="s">
        <v>108</v>
      </c>
      <c r="F59" s="41">
        <v>90</v>
      </c>
      <c r="G59" s="41">
        <v>3</v>
      </c>
      <c r="H59" s="41">
        <v>5</v>
      </c>
      <c r="I59" s="41">
        <v>8</v>
      </c>
      <c r="J59" s="41">
        <v>82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8" customHeight="1">
      <c r="D60" s="40" t="s">
        <v>76</v>
      </c>
      <c r="E60" s="40" t="s">
        <v>107</v>
      </c>
      <c r="F60" s="40">
        <v>90</v>
      </c>
      <c r="G60" s="40">
        <v>7</v>
      </c>
      <c r="H60" s="40">
        <v>4</v>
      </c>
      <c r="I60" s="40">
        <v>11</v>
      </c>
      <c r="J60" s="40">
        <v>79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8" customHeight="1">
      <c r="D61" s="41" t="s">
        <v>77</v>
      </c>
      <c r="E61" s="41" t="s">
        <v>107</v>
      </c>
      <c r="F61" s="41">
        <v>90</v>
      </c>
      <c r="G61" s="41">
        <v>7</v>
      </c>
      <c r="H61" s="41">
        <v>7</v>
      </c>
      <c r="I61" s="41">
        <v>14</v>
      </c>
      <c r="J61" s="41">
        <v>76</v>
      </c>
    </row>
    <row r="62" spans="1:27" ht="18" customHeight="1">
      <c r="D62" s="40" t="s">
        <v>78</v>
      </c>
      <c r="E62" s="40" t="s">
        <v>107</v>
      </c>
      <c r="F62" s="40">
        <v>90</v>
      </c>
      <c r="G62" s="40">
        <v>6</v>
      </c>
      <c r="H62" s="40">
        <v>6</v>
      </c>
      <c r="I62" s="40">
        <v>12</v>
      </c>
      <c r="J62" s="40">
        <v>78</v>
      </c>
    </row>
    <row r="100" spans="1:2" ht="15" customHeight="1">
      <c r="A100" s="28" t="s">
        <v>103</v>
      </c>
      <c r="B100" s="28" t="s">
        <v>232</v>
      </c>
    </row>
    <row r="101" spans="1:2" ht="15" customHeight="1">
      <c r="A101" s="28" t="s">
        <v>104</v>
      </c>
      <c r="B101">
        <v>81.3</v>
      </c>
    </row>
    <row r="102" spans="1:2" ht="15" customHeight="1">
      <c r="A102" s="28" t="s">
        <v>105</v>
      </c>
      <c r="B102">
        <v>82</v>
      </c>
    </row>
    <row r="103" spans="1:2" ht="15" customHeight="1">
      <c r="A103" s="28" t="s">
        <v>106</v>
      </c>
      <c r="B103">
        <v>81.7</v>
      </c>
    </row>
    <row r="104" spans="1:2" ht="15" customHeight="1">
      <c r="A104" s="28" t="s">
        <v>107</v>
      </c>
      <c r="B104">
        <v>77.7</v>
      </c>
    </row>
    <row r="105" spans="1:2" ht="15" customHeight="1">
      <c r="A105" s="28" t="s">
        <v>108</v>
      </c>
      <c r="B105">
        <v>81.599999999999994</v>
      </c>
    </row>
    <row r="120" spans="1:2" ht="15" customHeight="1">
      <c r="A120" s="28" t="s">
        <v>79</v>
      </c>
      <c r="B120" s="28" t="s">
        <v>47</v>
      </c>
    </row>
    <row r="121" spans="1:2" ht="15" customHeight="1">
      <c r="A121" s="28" t="s">
        <v>233</v>
      </c>
      <c r="B121">
        <v>132</v>
      </c>
    </row>
    <row r="122" spans="1:2" ht="15" customHeight="1">
      <c r="A122" s="28" t="s">
        <v>234</v>
      </c>
      <c r="B122">
        <v>139</v>
      </c>
    </row>
    <row r="123" spans="1:2" ht="15" customHeight="1">
      <c r="A123" s="28" t="s">
        <v>235</v>
      </c>
      <c r="B123">
        <v>271</v>
      </c>
    </row>
  </sheetData>
  <mergeCells count="20">
    <mergeCell ref="O11:AA11"/>
    <mergeCell ref="X1:AA3"/>
    <mergeCell ref="W7:W8"/>
    <mergeCell ref="D11:N11"/>
    <mergeCell ref="D30:AA30"/>
    <mergeCell ref="E7:E8"/>
    <mergeCell ref="K7:K8"/>
    <mergeCell ref="R8:T8"/>
    <mergeCell ref="Q7:Q8"/>
    <mergeCell ref="L7:N7"/>
    <mergeCell ref="X8:Z8"/>
    <mergeCell ref="F7:H7"/>
    <mergeCell ref="R7:T7"/>
    <mergeCell ref="X7:Z7"/>
    <mergeCell ref="A1:C5"/>
    <mergeCell ref="A6:C8"/>
    <mergeCell ref="D1:W3"/>
    <mergeCell ref="D6:AA6"/>
    <mergeCell ref="F8:H8"/>
    <mergeCell ref="L8:N8"/>
  </mergeCells>
  <hyperlinks>
    <hyperlink ref="AA5" r:id="rId1" location="Dashboard!A1" xr:uid="{00000000-0004-0000-0800-000000000000}"/>
    <hyperlink ref="C11" location="Dashboard!A1" display="الرئيسية" xr:uid="{00000000-0004-0000-0800-000001000000}"/>
    <hyperlink ref="C14" location="البلاغات_DB!A1" display="البلاغات" xr:uid="{00000000-0004-0000-0800-000002000000}"/>
    <hyperlink ref="C17" location="الإحالات_DB!A1" display="الإحالات" xr:uid="{00000000-0004-0000-0800-000003000000}"/>
    <hyperlink ref="C20" location="الدوريات_DB!A1" display="الدوريات" xr:uid="{00000000-0004-0000-0800-000004000000}"/>
    <hyperlink ref="C23" location="الدورات_DB!A1" display="الدورات" xr:uid="{00000000-0004-0000-0800-000005000000}"/>
    <hyperlink ref="C26" location="التمارين_DB!A1" display="التمارين" xr:uid="{00000000-0004-0000-0800-000006000000}"/>
    <hyperlink ref="C29" location="الزيارات_DB!A1" display="الزيارات" xr:uid="{00000000-0004-0000-0800-000007000000}"/>
    <hyperlink ref="C32" location="الاحتياجات_DB!A1" display="الاحتياجات" xr:uid="{00000000-0004-0000-0800-000008000000}"/>
    <hyperlink ref="C35" location="القوى_البشرية_DB!A1" display="القوى البشرية" xr:uid="{00000000-0004-0000-0800-000009000000}"/>
    <hyperlink ref="C38" location="المركبات_DB!A1" display="المركبات" xr:uid="{00000000-0004-0000-0800-00000A000000}"/>
    <hyperlink ref="C41" location="Dashboard!A1" display="الإعدادات" xr:uid="{00000000-0004-0000-0800-00000B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F766E"/>
  </sheetPr>
  <dimension ref="A1:AA122"/>
  <sheetViews>
    <sheetView showGridLines="0" rightToLeft="1" topLeftCell="A29" zoomScaleNormal="100" workbookViewId="0">
      <selection activeCell="C41" sqref="C41"/>
    </sheetView>
  </sheetViews>
  <sheetFormatPr defaultColWidth="8.6640625" defaultRowHeight="14.4"/>
  <cols>
    <col min="1" max="1" width="3" customWidth="1"/>
    <col min="2" max="2" width="4" customWidth="1"/>
    <col min="3" max="3" width="14" customWidth="1"/>
    <col min="4" max="4" width="9" bestFit="1" customWidth="1"/>
    <col min="5" max="5" width="9.21875" bestFit="1" customWidth="1"/>
    <col min="6" max="29" width="7" customWidth="1"/>
  </cols>
  <sheetData>
    <row r="1" spans="1:27" ht="24.75" customHeight="1">
      <c r="A1" s="72" t="s">
        <v>0</v>
      </c>
      <c r="B1" s="71"/>
      <c r="C1" s="71"/>
      <c r="D1" s="75" t="s">
        <v>236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85" t="s">
        <v>2</v>
      </c>
      <c r="Y1" s="71"/>
      <c r="Z1" s="71"/>
      <c r="AA1" s="71"/>
    </row>
    <row r="2" spans="1:27" ht="24.75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 spans="1:27" ht="19.5" customHeigh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</row>
    <row r="4" spans="1:27" ht="3.75" customHeight="1">
      <c r="A4" s="71"/>
      <c r="B4" s="71"/>
      <c r="C4" s="7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customHeight="1">
      <c r="A5" s="71"/>
      <c r="B5" s="71"/>
      <c r="C5" s="7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9" t="s">
        <v>90</v>
      </c>
    </row>
    <row r="6" spans="1:27" ht="21.75" customHeight="1">
      <c r="A6" s="73" t="s">
        <v>3</v>
      </c>
      <c r="B6" s="71"/>
      <c r="C6" s="71"/>
      <c r="D6" s="103" t="s">
        <v>237</v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 spans="1:27" ht="19.5" customHeight="1">
      <c r="A7" s="71"/>
      <c r="B7" s="71"/>
      <c r="C7" s="71"/>
      <c r="D7" s="17"/>
      <c r="E7" s="70" t="s">
        <v>26</v>
      </c>
      <c r="F7" s="81" t="s">
        <v>238</v>
      </c>
      <c r="G7" s="78"/>
      <c r="H7" s="79"/>
      <c r="I7" s="2"/>
      <c r="J7" s="18"/>
      <c r="K7" s="70" t="s">
        <v>239</v>
      </c>
      <c r="L7" s="89" t="s">
        <v>240</v>
      </c>
      <c r="M7" s="78"/>
      <c r="N7" s="79"/>
      <c r="O7" s="2"/>
      <c r="P7" s="3"/>
      <c r="Q7" s="70" t="s">
        <v>241</v>
      </c>
      <c r="R7" s="86" t="s">
        <v>242</v>
      </c>
      <c r="S7" s="78"/>
      <c r="T7" s="79"/>
      <c r="U7" s="2"/>
      <c r="V7" s="31"/>
      <c r="W7" s="70" t="s">
        <v>155</v>
      </c>
      <c r="X7" s="96" t="s">
        <v>27</v>
      </c>
      <c r="Y7" s="78"/>
      <c r="Z7" s="79"/>
      <c r="AA7" s="2"/>
    </row>
    <row r="8" spans="1:27" ht="19.5" customHeight="1">
      <c r="A8" s="71"/>
      <c r="B8" s="71"/>
      <c r="C8" s="71"/>
      <c r="D8" s="20"/>
      <c r="E8" s="71"/>
      <c r="F8" s="83" t="s">
        <v>243</v>
      </c>
      <c r="G8" s="71"/>
      <c r="H8" s="84"/>
      <c r="I8" s="2"/>
      <c r="J8" s="21"/>
      <c r="K8" s="71"/>
      <c r="L8" s="83" t="s">
        <v>244</v>
      </c>
      <c r="M8" s="71"/>
      <c r="N8" s="84"/>
      <c r="O8" s="2"/>
      <c r="P8" s="6"/>
      <c r="Q8" s="71"/>
      <c r="R8" s="83" t="s">
        <v>245</v>
      </c>
      <c r="S8" s="71"/>
      <c r="T8" s="84"/>
      <c r="U8" s="2"/>
      <c r="V8" s="33"/>
      <c r="W8" s="71"/>
      <c r="X8" s="83" t="s">
        <v>221</v>
      </c>
      <c r="Y8" s="71"/>
      <c r="Z8" s="84"/>
      <c r="AA8" s="2"/>
    </row>
    <row r="9" spans="1:27" ht="19.5" customHeight="1">
      <c r="A9" s="9"/>
      <c r="B9" s="9"/>
      <c r="C9" s="9"/>
      <c r="D9" s="23"/>
      <c r="E9" s="11"/>
      <c r="F9" s="11"/>
      <c r="G9" s="11"/>
      <c r="H9" s="12"/>
      <c r="I9" s="2"/>
      <c r="J9" s="24"/>
      <c r="K9" s="11"/>
      <c r="L9" s="11"/>
      <c r="M9" s="11"/>
      <c r="N9" s="12"/>
      <c r="O9" s="2"/>
      <c r="P9" s="10"/>
      <c r="Q9" s="11"/>
      <c r="R9" s="11"/>
      <c r="S9" s="11"/>
      <c r="T9" s="12"/>
      <c r="U9" s="2"/>
      <c r="V9" s="35"/>
      <c r="W9" s="11"/>
      <c r="X9" s="11"/>
      <c r="Y9" s="11"/>
      <c r="Z9" s="12"/>
      <c r="AA9" s="2"/>
    </row>
    <row r="10" spans="1:27" ht="15" customHeight="1">
      <c r="A10" s="15"/>
      <c r="B10" s="15"/>
      <c r="C10" s="1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1.75" customHeight="1">
      <c r="A11" s="15"/>
      <c r="B11" s="54" t="s">
        <v>13</v>
      </c>
      <c r="C11" s="55" t="s">
        <v>14</v>
      </c>
      <c r="D11" s="92" t="s">
        <v>246</v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4" t="s">
        <v>247</v>
      </c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</row>
    <row r="12" spans="1:27" ht="15" customHeight="1">
      <c r="A12" s="15"/>
      <c r="B12" s="56"/>
      <c r="C12" s="57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 customHeight="1">
      <c r="A13" s="15"/>
      <c r="B13" s="56"/>
      <c r="C13" s="57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" customHeight="1">
      <c r="A14" s="15"/>
      <c r="B14" s="54" t="s">
        <v>5</v>
      </c>
      <c r="C14" s="55" t="s">
        <v>22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" customHeight="1">
      <c r="A15" s="15"/>
      <c r="B15" s="56"/>
      <c r="C15" s="5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" customHeight="1">
      <c r="A16" s="15"/>
      <c r="B16" s="56"/>
      <c r="C16" s="57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" customHeight="1">
      <c r="A17" s="15"/>
      <c r="B17" s="54" t="s">
        <v>7</v>
      </c>
      <c r="C17" s="55" t="s">
        <v>31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" customHeight="1">
      <c r="A18" s="15"/>
      <c r="B18" s="56"/>
      <c r="C18" s="57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" customHeight="1">
      <c r="A19" s="15"/>
      <c r="B19" s="56"/>
      <c r="C19" s="57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" customHeight="1">
      <c r="A20" s="15"/>
      <c r="B20" s="54" t="s">
        <v>8</v>
      </c>
      <c r="C20" s="55" t="s">
        <v>32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" customHeight="1">
      <c r="A21" s="15"/>
      <c r="B21" s="56"/>
      <c r="C21" s="57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" customHeight="1">
      <c r="A22" s="15"/>
      <c r="B22" s="56"/>
      <c r="C22" s="57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" customHeight="1">
      <c r="A23" s="15"/>
      <c r="B23" s="54" t="s">
        <v>15</v>
      </c>
      <c r="C23" s="55" t="s">
        <v>35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" customHeight="1">
      <c r="A24" s="15"/>
      <c r="B24" s="56"/>
      <c r="C24" s="5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" customHeight="1">
      <c r="A25" s="15"/>
      <c r="B25" s="56"/>
      <c r="C25" s="57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" customHeight="1">
      <c r="A26" s="15"/>
      <c r="B26" s="54" t="s">
        <v>18</v>
      </c>
      <c r="C26" s="55" t="s">
        <v>36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" customHeight="1">
      <c r="A27" s="15"/>
      <c r="B27" s="56"/>
      <c r="C27" s="5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" customHeight="1">
      <c r="A28" s="15"/>
      <c r="B28" s="56"/>
      <c r="C28" s="57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" customHeight="1">
      <c r="A29" s="15"/>
      <c r="B29" s="54" t="s">
        <v>16</v>
      </c>
      <c r="C29" s="55" t="s">
        <v>37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21.75" customHeight="1">
      <c r="A30" s="15"/>
      <c r="B30" s="56"/>
      <c r="C30" s="57"/>
      <c r="D30" s="88" t="s">
        <v>248</v>
      </c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</row>
    <row r="31" spans="1:27" ht="19.5" customHeight="1">
      <c r="A31" s="15"/>
      <c r="B31" s="56"/>
      <c r="C31" s="57"/>
      <c r="D31" s="44" t="s">
        <v>64</v>
      </c>
      <c r="E31" s="44" t="s">
        <v>103</v>
      </c>
      <c r="F31" s="44" t="s">
        <v>228</v>
      </c>
      <c r="G31" s="44" t="s">
        <v>249</v>
      </c>
      <c r="H31" s="44" t="s">
        <v>250</v>
      </c>
      <c r="I31" s="44" t="s">
        <v>232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8" customHeight="1">
      <c r="A32" s="15"/>
      <c r="B32" s="54" t="s">
        <v>23</v>
      </c>
      <c r="C32" s="55" t="s">
        <v>28</v>
      </c>
      <c r="D32" s="40" t="s">
        <v>174</v>
      </c>
      <c r="E32" s="40" t="s">
        <v>104</v>
      </c>
      <c r="F32" s="40">
        <v>70</v>
      </c>
      <c r="G32" s="40">
        <v>60</v>
      </c>
      <c r="H32" s="40">
        <v>10</v>
      </c>
      <c r="I32" s="40">
        <v>60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8" customHeight="1">
      <c r="A33" s="15"/>
      <c r="B33" s="56"/>
      <c r="C33" s="57"/>
      <c r="D33" s="41" t="s">
        <v>175</v>
      </c>
      <c r="E33" s="41" t="s">
        <v>104</v>
      </c>
      <c r="F33" s="41">
        <v>70</v>
      </c>
      <c r="G33" s="41">
        <v>50</v>
      </c>
      <c r="H33" s="41">
        <v>20</v>
      </c>
      <c r="I33" s="41">
        <v>50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8" customHeight="1">
      <c r="A34" s="15"/>
      <c r="B34" s="56"/>
      <c r="C34" s="57"/>
      <c r="D34" s="40" t="s">
        <v>176</v>
      </c>
      <c r="E34" s="40" t="s">
        <v>104</v>
      </c>
      <c r="F34" s="40">
        <v>70</v>
      </c>
      <c r="G34" s="40">
        <v>60</v>
      </c>
      <c r="H34" s="40">
        <v>10</v>
      </c>
      <c r="I34" s="40">
        <v>60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8" customHeight="1">
      <c r="A35" s="15"/>
      <c r="B35" s="54" t="s">
        <v>24</v>
      </c>
      <c r="C35" s="55" t="s">
        <v>40</v>
      </c>
      <c r="D35" s="41" t="s">
        <v>177</v>
      </c>
      <c r="E35" s="41" t="s">
        <v>104</v>
      </c>
      <c r="F35" s="41">
        <v>70</v>
      </c>
      <c r="G35" s="41">
        <v>55</v>
      </c>
      <c r="H35" s="41">
        <v>15</v>
      </c>
      <c r="I35" s="41">
        <v>55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8" customHeight="1">
      <c r="A36" s="15"/>
      <c r="B36" s="56"/>
      <c r="C36" s="57"/>
      <c r="D36" s="40" t="s">
        <v>178</v>
      </c>
      <c r="E36" s="40" t="s">
        <v>104</v>
      </c>
      <c r="F36" s="40">
        <v>70</v>
      </c>
      <c r="G36" s="40">
        <v>65</v>
      </c>
      <c r="H36" s="40">
        <v>5</v>
      </c>
      <c r="I36" s="40">
        <v>65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8" customHeight="1">
      <c r="A37" s="15"/>
      <c r="B37" s="56"/>
      <c r="C37" s="57"/>
      <c r="D37" s="41" t="s">
        <v>179</v>
      </c>
      <c r="E37" s="41" t="s">
        <v>104</v>
      </c>
      <c r="F37" s="41">
        <v>70</v>
      </c>
      <c r="G37" s="41">
        <v>45</v>
      </c>
      <c r="H37" s="41">
        <v>25</v>
      </c>
      <c r="I37" s="41">
        <v>45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8" customHeight="1">
      <c r="A38" s="1"/>
      <c r="B38" s="62" t="s">
        <v>26</v>
      </c>
      <c r="C38" s="51" t="s">
        <v>41</v>
      </c>
      <c r="D38" s="40" t="s">
        <v>180</v>
      </c>
      <c r="E38" s="40" t="s">
        <v>104</v>
      </c>
      <c r="F38" s="40">
        <v>70</v>
      </c>
      <c r="G38" s="40">
        <v>45</v>
      </c>
      <c r="H38" s="40">
        <v>25</v>
      </c>
      <c r="I38" s="40">
        <v>45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8" customHeight="1">
      <c r="A39" s="1"/>
      <c r="B39" s="63"/>
      <c r="C39" s="53"/>
      <c r="D39" s="41" t="s">
        <v>181</v>
      </c>
      <c r="E39" s="41" t="s">
        <v>106</v>
      </c>
      <c r="F39" s="41">
        <v>70</v>
      </c>
      <c r="G39" s="41">
        <v>50</v>
      </c>
      <c r="H39" s="41">
        <v>20</v>
      </c>
      <c r="I39" s="41">
        <v>50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8" customHeight="1">
      <c r="A40" s="15"/>
      <c r="B40" s="63"/>
      <c r="C40" s="53"/>
      <c r="D40" s="40" t="s">
        <v>182</v>
      </c>
      <c r="E40" s="40" t="s">
        <v>106</v>
      </c>
      <c r="F40" s="40">
        <v>70</v>
      </c>
      <c r="G40" s="40">
        <v>60</v>
      </c>
      <c r="H40" s="40">
        <v>10</v>
      </c>
      <c r="I40" s="40">
        <v>60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8" customHeight="1">
      <c r="A41" s="15"/>
      <c r="B41" s="54" t="s">
        <v>42</v>
      </c>
      <c r="C41" s="55" t="s">
        <v>43</v>
      </c>
      <c r="D41" s="41" t="s">
        <v>183</v>
      </c>
      <c r="E41" s="41" t="s">
        <v>106</v>
      </c>
      <c r="F41" s="41">
        <v>70</v>
      </c>
      <c r="G41" s="41">
        <v>60</v>
      </c>
      <c r="H41" s="41">
        <v>10</v>
      </c>
      <c r="I41" s="41">
        <v>60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8" customHeight="1">
      <c r="A42" s="15"/>
      <c r="B42" s="56"/>
      <c r="C42" s="57"/>
      <c r="D42" s="40" t="s">
        <v>184</v>
      </c>
      <c r="E42" s="40" t="s">
        <v>106</v>
      </c>
      <c r="F42" s="40">
        <v>70</v>
      </c>
      <c r="G42" s="40">
        <v>50</v>
      </c>
      <c r="H42" s="40">
        <v>20</v>
      </c>
      <c r="I42" s="40">
        <v>50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8" customHeight="1">
      <c r="A43" s="15"/>
      <c r="B43" s="56"/>
      <c r="C43" s="57"/>
      <c r="D43" s="41" t="s">
        <v>185</v>
      </c>
      <c r="E43" s="41" t="s">
        <v>106</v>
      </c>
      <c r="F43" s="41">
        <v>70</v>
      </c>
      <c r="G43" s="41">
        <v>60</v>
      </c>
      <c r="H43" s="41">
        <v>10</v>
      </c>
      <c r="I43" s="41">
        <v>60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8" customHeight="1">
      <c r="A44" s="15"/>
      <c r="B44" s="15"/>
      <c r="C44" s="15"/>
      <c r="D44" s="40" t="s">
        <v>186</v>
      </c>
      <c r="E44" s="40" t="s">
        <v>106</v>
      </c>
      <c r="F44" s="40">
        <v>70</v>
      </c>
      <c r="G44" s="40">
        <v>55</v>
      </c>
      <c r="H44" s="40">
        <v>15</v>
      </c>
      <c r="I44" s="40">
        <v>55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8" customHeight="1">
      <c r="A45" s="15"/>
      <c r="B45" s="15"/>
      <c r="C45" s="15"/>
      <c r="D45" s="41" t="s">
        <v>187</v>
      </c>
      <c r="E45" s="41" t="s">
        <v>106</v>
      </c>
      <c r="F45" s="41">
        <v>70</v>
      </c>
      <c r="G45" s="41">
        <v>65</v>
      </c>
      <c r="H45" s="41">
        <v>5</v>
      </c>
      <c r="I45" s="41">
        <v>65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8" customHeight="1">
      <c r="A46" s="15"/>
      <c r="B46" s="15"/>
      <c r="C46" s="15"/>
      <c r="D46" s="40" t="s">
        <v>188</v>
      </c>
      <c r="E46" s="40" t="s">
        <v>105</v>
      </c>
      <c r="F46" s="40">
        <v>70</v>
      </c>
      <c r="G46" s="40">
        <v>45</v>
      </c>
      <c r="H46" s="40">
        <v>25</v>
      </c>
      <c r="I46" s="40">
        <v>45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8" customHeight="1">
      <c r="A47" s="15"/>
      <c r="B47" s="15"/>
      <c r="C47" s="15"/>
      <c r="D47" s="41" t="s">
        <v>189</v>
      </c>
      <c r="E47" s="41" t="s">
        <v>105</v>
      </c>
      <c r="F47" s="41">
        <v>70</v>
      </c>
      <c r="G47" s="41">
        <v>45</v>
      </c>
      <c r="H47" s="41">
        <v>25</v>
      </c>
      <c r="I47" s="41">
        <v>45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8" customHeight="1">
      <c r="A48" s="15"/>
      <c r="B48" s="15"/>
      <c r="C48" s="15"/>
      <c r="D48" s="40" t="s">
        <v>190</v>
      </c>
      <c r="E48" s="40" t="s">
        <v>105</v>
      </c>
      <c r="F48" s="40">
        <v>70</v>
      </c>
      <c r="G48" s="40">
        <v>50</v>
      </c>
      <c r="H48" s="40">
        <v>20</v>
      </c>
      <c r="I48" s="40">
        <v>50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8" customHeight="1">
      <c r="A49" s="15"/>
      <c r="B49" s="15"/>
      <c r="C49" s="15"/>
      <c r="D49" s="41" t="s">
        <v>65</v>
      </c>
      <c r="E49" s="41" t="s">
        <v>105</v>
      </c>
      <c r="F49" s="41">
        <v>70</v>
      </c>
      <c r="G49" s="41">
        <v>60</v>
      </c>
      <c r="H49" s="41">
        <v>10</v>
      </c>
      <c r="I49" s="41">
        <v>60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8" customHeight="1">
      <c r="A50" s="15"/>
      <c r="B50" s="15"/>
      <c r="C50" s="15"/>
      <c r="D50" s="40" t="s">
        <v>66</v>
      </c>
      <c r="E50" s="40" t="s">
        <v>105</v>
      </c>
      <c r="F50" s="40">
        <v>70</v>
      </c>
      <c r="G50" s="40">
        <v>60</v>
      </c>
      <c r="H50" s="40">
        <v>10</v>
      </c>
      <c r="I50" s="40">
        <v>60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8" customHeight="1">
      <c r="A51" s="15"/>
      <c r="B51" s="15"/>
      <c r="C51" s="15"/>
      <c r="D51" s="41" t="s">
        <v>67</v>
      </c>
      <c r="E51" s="41" t="s">
        <v>105</v>
      </c>
      <c r="F51" s="41">
        <v>70</v>
      </c>
      <c r="G51" s="41">
        <v>50</v>
      </c>
      <c r="H51" s="41">
        <v>20</v>
      </c>
      <c r="I51" s="41">
        <v>50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8" customHeight="1">
      <c r="A52" s="15"/>
      <c r="B52" s="15"/>
      <c r="C52" s="15"/>
      <c r="D52" s="40" t="s">
        <v>68</v>
      </c>
      <c r="E52" s="40" t="s">
        <v>105</v>
      </c>
      <c r="F52" s="40">
        <v>70</v>
      </c>
      <c r="G52" s="40">
        <v>60</v>
      </c>
      <c r="H52" s="40">
        <v>10</v>
      </c>
      <c r="I52" s="40">
        <v>60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8" customHeight="1">
      <c r="A53" s="15"/>
      <c r="B53" s="15"/>
      <c r="C53" s="15"/>
      <c r="D53" s="41" t="s">
        <v>69</v>
      </c>
      <c r="E53" s="41" t="s">
        <v>108</v>
      </c>
      <c r="F53" s="41">
        <v>70</v>
      </c>
      <c r="G53" s="41">
        <v>55</v>
      </c>
      <c r="H53" s="41">
        <v>15</v>
      </c>
      <c r="I53" s="41">
        <v>55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8" customHeight="1">
      <c r="A54" s="15"/>
      <c r="B54" s="15"/>
      <c r="C54" s="15"/>
      <c r="D54" s="40" t="s">
        <v>70</v>
      </c>
      <c r="E54" s="40" t="s">
        <v>108</v>
      </c>
      <c r="F54" s="40">
        <v>70</v>
      </c>
      <c r="G54" s="40">
        <v>65</v>
      </c>
      <c r="H54" s="40">
        <v>5</v>
      </c>
      <c r="I54" s="40">
        <v>65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8" customHeight="1">
      <c r="A55" s="15"/>
      <c r="B55" s="15"/>
      <c r="C55" s="15"/>
      <c r="D55" s="41" t="s">
        <v>71</v>
      </c>
      <c r="E55" s="41" t="s">
        <v>108</v>
      </c>
      <c r="F55" s="41">
        <v>70</v>
      </c>
      <c r="G55" s="41">
        <v>45</v>
      </c>
      <c r="H55" s="41">
        <v>25</v>
      </c>
      <c r="I55" s="41">
        <v>45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8" customHeight="1">
      <c r="A56" s="15"/>
      <c r="B56" s="15"/>
      <c r="C56" s="15"/>
      <c r="D56" s="40" t="s">
        <v>72</v>
      </c>
      <c r="E56" s="40" t="s">
        <v>108</v>
      </c>
      <c r="F56" s="40">
        <v>70</v>
      </c>
      <c r="G56" s="40">
        <v>45</v>
      </c>
      <c r="H56" s="40">
        <v>25</v>
      </c>
      <c r="I56" s="40">
        <v>45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8" customHeight="1">
      <c r="A57" s="15"/>
      <c r="B57" s="15"/>
      <c r="C57" s="15"/>
      <c r="D57" s="41" t="s">
        <v>73</v>
      </c>
      <c r="E57" s="41" t="s">
        <v>108</v>
      </c>
      <c r="F57" s="41">
        <v>70</v>
      </c>
      <c r="G57" s="41">
        <v>50</v>
      </c>
      <c r="H57" s="41">
        <v>20</v>
      </c>
      <c r="I57" s="41">
        <v>50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8" customHeight="1">
      <c r="A58" s="15"/>
      <c r="B58" s="15"/>
      <c r="C58" s="15"/>
      <c r="D58" s="40" t="s">
        <v>74</v>
      </c>
      <c r="E58" s="40" t="s">
        <v>108</v>
      </c>
      <c r="F58" s="40">
        <v>70</v>
      </c>
      <c r="G58" s="40">
        <v>60</v>
      </c>
      <c r="H58" s="40">
        <v>10</v>
      </c>
      <c r="I58" s="40">
        <v>60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8" customHeight="1">
      <c r="A59" s="15"/>
      <c r="B59" s="15"/>
      <c r="C59" s="15"/>
      <c r="D59" s="41" t="s">
        <v>75</v>
      </c>
      <c r="E59" s="41" t="s">
        <v>108</v>
      </c>
      <c r="F59" s="41">
        <v>70</v>
      </c>
      <c r="G59" s="41">
        <v>60</v>
      </c>
      <c r="H59" s="41">
        <v>10</v>
      </c>
      <c r="I59" s="41">
        <v>60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8" customHeight="1">
      <c r="D60" s="40" t="s">
        <v>76</v>
      </c>
      <c r="E60" s="40" t="s">
        <v>107</v>
      </c>
      <c r="F60" s="40">
        <v>70</v>
      </c>
      <c r="G60" s="40">
        <v>50</v>
      </c>
      <c r="H60" s="40">
        <v>20</v>
      </c>
      <c r="I60" s="40">
        <v>50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8" customHeight="1">
      <c r="D61" s="41" t="s">
        <v>77</v>
      </c>
      <c r="E61" s="41" t="s">
        <v>107</v>
      </c>
      <c r="F61" s="41">
        <v>70</v>
      </c>
      <c r="G61" s="41">
        <v>60</v>
      </c>
      <c r="H61" s="41">
        <v>10</v>
      </c>
      <c r="I61" s="41">
        <v>60</v>
      </c>
    </row>
    <row r="62" spans="1:27" ht="18" customHeight="1">
      <c r="D62" s="40" t="s">
        <v>78</v>
      </c>
      <c r="E62" s="40" t="s">
        <v>107</v>
      </c>
      <c r="F62" s="40">
        <v>70</v>
      </c>
      <c r="G62" s="40">
        <v>55</v>
      </c>
      <c r="H62" s="40">
        <v>15</v>
      </c>
      <c r="I62" s="40">
        <v>55</v>
      </c>
    </row>
    <row r="100" spans="1:2" ht="15" customHeight="1">
      <c r="A100" s="28" t="s">
        <v>103</v>
      </c>
      <c r="B100" s="28" t="s">
        <v>232</v>
      </c>
    </row>
    <row r="101" spans="1:2" ht="15" customHeight="1">
      <c r="A101" s="28" t="s">
        <v>104</v>
      </c>
      <c r="B101">
        <v>54.3</v>
      </c>
    </row>
    <row r="102" spans="1:2" ht="15" customHeight="1">
      <c r="A102" s="28" t="s">
        <v>105</v>
      </c>
      <c r="B102">
        <v>52.9</v>
      </c>
    </row>
    <row r="103" spans="1:2" ht="15" customHeight="1">
      <c r="A103" s="28" t="s">
        <v>106</v>
      </c>
      <c r="B103">
        <v>57.1</v>
      </c>
    </row>
    <row r="104" spans="1:2" ht="15" customHeight="1">
      <c r="A104" s="28" t="s">
        <v>107</v>
      </c>
      <c r="B104">
        <v>55</v>
      </c>
    </row>
    <row r="105" spans="1:2" ht="15" customHeight="1">
      <c r="A105" s="28" t="s">
        <v>108</v>
      </c>
      <c r="B105">
        <v>54.3</v>
      </c>
    </row>
    <row r="120" spans="1:2" ht="15" customHeight="1">
      <c r="A120" s="28" t="s">
        <v>251</v>
      </c>
      <c r="B120" s="28" t="s">
        <v>47</v>
      </c>
    </row>
    <row r="121" spans="1:2" ht="15" customHeight="1">
      <c r="A121" s="28" t="s">
        <v>252</v>
      </c>
      <c r="B121">
        <v>1695</v>
      </c>
    </row>
    <row r="122" spans="1:2" ht="15" customHeight="1">
      <c r="A122" s="28" t="s">
        <v>250</v>
      </c>
      <c r="B122">
        <v>475</v>
      </c>
    </row>
  </sheetData>
  <mergeCells count="20">
    <mergeCell ref="O11:AA11"/>
    <mergeCell ref="X1:AA3"/>
    <mergeCell ref="W7:W8"/>
    <mergeCell ref="D11:N11"/>
    <mergeCell ref="D30:AA30"/>
    <mergeCell ref="E7:E8"/>
    <mergeCell ref="K7:K8"/>
    <mergeCell ref="R8:T8"/>
    <mergeCell ref="Q7:Q8"/>
    <mergeCell ref="L7:N7"/>
    <mergeCell ref="X8:Z8"/>
    <mergeCell ref="F7:H7"/>
    <mergeCell ref="R7:T7"/>
    <mergeCell ref="X7:Z7"/>
    <mergeCell ref="A1:C5"/>
    <mergeCell ref="A6:C8"/>
    <mergeCell ref="D1:W3"/>
    <mergeCell ref="D6:AA6"/>
    <mergeCell ref="F8:H8"/>
    <mergeCell ref="L8:N8"/>
  </mergeCells>
  <hyperlinks>
    <hyperlink ref="AA5" r:id="rId1" location="Dashboard!A1" xr:uid="{00000000-0004-0000-0900-000000000000}"/>
    <hyperlink ref="C11" location="Dashboard!A1" display="الرئيسية" xr:uid="{00000000-0004-0000-0900-000001000000}"/>
    <hyperlink ref="C14" location="البلاغات_DB!A1" display="البلاغات" xr:uid="{00000000-0004-0000-0900-000002000000}"/>
    <hyperlink ref="C17" location="الإحالات_DB!A1" display="الإحالات" xr:uid="{00000000-0004-0000-0900-000003000000}"/>
    <hyperlink ref="C20" location="الدوريات_DB!A1" display="الدوريات" xr:uid="{00000000-0004-0000-0900-000004000000}"/>
    <hyperlink ref="C23" location="الدورات_DB!A1" display="الدورات" xr:uid="{00000000-0004-0000-0900-000005000000}"/>
    <hyperlink ref="C26" location="التمارين_DB!A1" display="التمارين" xr:uid="{00000000-0004-0000-0900-000006000000}"/>
    <hyperlink ref="C29" location="الزيارات_DB!A1" display="الزيارات" xr:uid="{00000000-0004-0000-0900-000007000000}"/>
    <hyperlink ref="C32" location="الاحتياجات_DB!A1" display="الاحتياجات" xr:uid="{00000000-0004-0000-0900-000008000000}"/>
    <hyperlink ref="C35" location="القوى_البشرية_DB!A1" display="القوى البشرية" xr:uid="{00000000-0004-0000-0900-000009000000}"/>
    <hyperlink ref="C38" location="المركبات_DB!A1" display="المركبات" xr:uid="{00000000-0004-0000-0900-00000A000000}"/>
    <hyperlink ref="C41" location="Dashboard!A1" display="الإعدادات" xr:uid="{00000000-0004-0000-0900-00000B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2E8F0"/>
  </sheetPr>
  <dimension ref="A1:E33"/>
  <sheetViews>
    <sheetView rightToLeft="1" zoomScaleNormal="100" workbookViewId="0"/>
  </sheetViews>
  <sheetFormatPr defaultColWidth="8.6640625" defaultRowHeight="14.4"/>
  <cols>
    <col min="1" max="1" width="23" customWidth="1"/>
    <col min="2" max="2" width="30" customWidth="1"/>
    <col min="3" max="3" width="17" customWidth="1"/>
    <col min="4" max="4" width="9" customWidth="1"/>
    <col min="5" max="5" width="17" customWidth="1"/>
  </cols>
  <sheetData>
    <row r="1" spans="1:5" ht="21.75" customHeight="1">
      <c r="A1" s="45" t="s">
        <v>64</v>
      </c>
      <c r="B1" s="45" t="s">
        <v>103</v>
      </c>
      <c r="C1" s="45" t="s">
        <v>79</v>
      </c>
      <c r="D1" s="45" t="s">
        <v>47</v>
      </c>
      <c r="E1" s="45" t="s">
        <v>164</v>
      </c>
    </row>
    <row r="2" spans="1:5" ht="15" customHeight="1">
      <c r="A2" s="46">
        <v>46143</v>
      </c>
      <c r="B2" s="47" t="str">
        <f t="shared" ref="B2:B33" si="0">IF(A2="","",CHOOSE(MIN(5,ROUNDUP(DAY(A2)/7,0)),"الأسبوع الأول","الأسبوع الثاني","الأسبوع الثالث","الأسبوع الرابع","الأسبوع الخامس"))</f>
        <v>الأسبوع الأول</v>
      </c>
      <c r="C2" s="47" t="s">
        <v>253</v>
      </c>
      <c r="D2" s="47">
        <v>45</v>
      </c>
      <c r="E2" s="47" t="s">
        <v>101</v>
      </c>
    </row>
    <row r="3" spans="1:5" ht="15" customHeight="1">
      <c r="A3" s="48">
        <v>46144</v>
      </c>
      <c r="B3" s="49" t="str">
        <f t="shared" si="0"/>
        <v>الأسبوع الأول</v>
      </c>
      <c r="C3" s="49" t="s">
        <v>254</v>
      </c>
      <c r="D3" s="49">
        <v>30</v>
      </c>
      <c r="E3" s="49" t="s">
        <v>102</v>
      </c>
    </row>
    <row r="4" spans="1:5" ht="15" customHeight="1">
      <c r="A4" s="46">
        <v>46145</v>
      </c>
      <c r="B4" s="47" t="str">
        <f t="shared" si="0"/>
        <v>الأسبوع الأول</v>
      </c>
      <c r="C4" s="47" t="s">
        <v>255</v>
      </c>
      <c r="D4" s="47">
        <v>12</v>
      </c>
      <c r="E4" s="47" t="s">
        <v>32</v>
      </c>
    </row>
    <row r="5" spans="1:5" ht="15" customHeight="1">
      <c r="A5" s="48">
        <v>46146</v>
      </c>
      <c r="B5" s="49" t="str">
        <f t="shared" si="0"/>
        <v>الأسبوع الأول</v>
      </c>
      <c r="C5" s="49" t="s">
        <v>256</v>
      </c>
      <c r="D5" s="49">
        <v>8</v>
      </c>
      <c r="E5" s="49" t="s">
        <v>101</v>
      </c>
    </row>
    <row r="6" spans="1:5" ht="15" customHeight="1">
      <c r="A6" s="46">
        <v>46147</v>
      </c>
      <c r="B6" s="47" t="str">
        <f t="shared" si="0"/>
        <v>الأسبوع الأول</v>
      </c>
      <c r="C6" s="47" t="s">
        <v>253</v>
      </c>
      <c r="D6" s="47">
        <v>50</v>
      </c>
      <c r="E6" s="47" t="s">
        <v>102</v>
      </c>
    </row>
    <row r="7" spans="1:5" ht="15" customHeight="1">
      <c r="A7" s="48">
        <v>46148</v>
      </c>
      <c r="B7" s="49" t="str">
        <f t="shared" si="0"/>
        <v>الأسبوع الأول</v>
      </c>
      <c r="C7" s="49" t="s">
        <v>254</v>
      </c>
      <c r="D7" s="49">
        <v>28</v>
      </c>
      <c r="E7" s="49" t="s">
        <v>32</v>
      </c>
    </row>
    <row r="8" spans="1:5" ht="15" customHeight="1">
      <c r="A8" s="46">
        <v>46149</v>
      </c>
      <c r="B8" s="47" t="str">
        <f t="shared" si="0"/>
        <v>الأسبوع الأول</v>
      </c>
      <c r="C8" s="47" t="s">
        <v>255</v>
      </c>
      <c r="D8" s="47">
        <v>15</v>
      </c>
      <c r="E8" s="47" t="s">
        <v>101</v>
      </c>
    </row>
    <row r="9" spans="1:5" ht="15" customHeight="1">
      <c r="A9" s="48">
        <v>46150</v>
      </c>
      <c r="B9" s="49" t="str">
        <f t="shared" si="0"/>
        <v>الأسبوع الثاني</v>
      </c>
      <c r="C9" s="49" t="s">
        <v>256</v>
      </c>
      <c r="D9" s="49">
        <v>11</v>
      </c>
      <c r="E9" s="49" t="s">
        <v>102</v>
      </c>
    </row>
    <row r="10" spans="1:5" ht="15" customHeight="1">
      <c r="A10" s="46">
        <v>46151</v>
      </c>
      <c r="B10" s="47" t="str">
        <f t="shared" si="0"/>
        <v>الأسبوع الثاني</v>
      </c>
      <c r="C10" s="47" t="s">
        <v>257</v>
      </c>
      <c r="D10" s="47">
        <v>55</v>
      </c>
      <c r="E10" s="47" t="s">
        <v>101</v>
      </c>
    </row>
    <row r="11" spans="1:5" ht="15" customHeight="1">
      <c r="A11" s="48">
        <v>46152</v>
      </c>
      <c r="B11" s="49" t="str">
        <f t="shared" si="0"/>
        <v>الأسبوع الثاني</v>
      </c>
      <c r="C11" s="49" t="s">
        <v>257</v>
      </c>
      <c r="D11" s="49">
        <v>35</v>
      </c>
      <c r="E11" s="49" t="s">
        <v>32</v>
      </c>
    </row>
    <row r="12" spans="1:5" ht="15" customHeight="1">
      <c r="A12" s="46">
        <v>46153</v>
      </c>
      <c r="B12" s="47" t="str">
        <f t="shared" si="0"/>
        <v>الأسبوع الثاني</v>
      </c>
      <c r="C12" s="47" t="s">
        <v>258</v>
      </c>
      <c r="D12" s="47">
        <v>50</v>
      </c>
      <c r="E12" s="47" t="s">
        <v>102</v>
      </c>
    </row>
    <row r="13" spans="1:5" ht="15" customHeight="1">
      <c r="A13" s="48">
        <v>46154</v>
      </c>
      <c r="B13" s="49" t="str">
        <f t="shared" si="0"/>
        <v>الأسبوع الثاني</v>
      </c>
      <c r="C13" s="49" t="s">
        <v>253</v>
      </c>
      <c r="D13" s="49">
        <v>39</v>
      </c>
      <c r="E13" s="49" t="s">
        <v>101</v>
      </c>
    </row>
    <row r="14" spans="1:5" ht="15" customHeight="1">
      <c r="A14" s="46">
        <v>46155</v>
      </c>
      <c r="B14" s="47" t="str">
        <f t="shared" si="0"/>
        <v>الأسبوع الثاني</v>
      </c>
      <c r="C14" s="47" t="s">
        <v>254</v>
      </c>
      <c r="D14" s="47">
        <v>40</v>
      </c>
      <c r="E14" s="47" t="s">
        <v>102</v>
      </c>
    </row>
    <row r="15" spans="1:5" ht="15" customHeight="1">
      <c r="A15" s="48">
        <v>46156</v>
      </c>
      <c r="B15" s="49" t="str">
        <f t="shared" si="0"/>
        <v>الأسبوع الثاني</v>
      </c>
      <c r="C15" s="49" t="s">
        <v>255</v>
      </c>
      <c r="D15" s="49">
        <v>41</v>
      </c>
      <c r="E15" s="49" t="s">
        <v>32</v>
      </c>
    </row>
    <row r="16" spans="1:5" ht="15" customHeight="1">
      <c r="A16" s="46">
        <v>46157</v>
      </c>
      <c r="B16" s="47" t="str">
        <f t="shared" si="0"/>
        <v>الأسبوع الثالث</v>
      </c>
      <c r="C16" s="47" t="s">
        <v>256</v>
      </c>
      <c r="D16" s="47">
        <v>43</v>
      </c>
      <c r="E16" s="47" t="s">
        <v>101</v>
      </c>
    </row>
    <row r="17" spans="1:5" ht="15" customHeight="1">
      <c r="A17" s="48">
        <v>46158</v>
      </c>
      <c r="B17" s="49" t="str">
        <f t="shared" si="0"/>
        <v>الأسبوع الثالث</v>
      </c>
      <c r="C17" s="49" t="s">
        <v>253</v>
      </c>
      <c r="D17" s="49">
        <v>44</v>
      </c>
      <c r="E17" s="49" t="s">
        <v>102</v>
      </c>
    </row>
    <row r="18" spans="1:5" ht="15" customHeight="1">
      <c r="A18" s="46">
        <v>46159</v>
      </c>
      <c r="B18" s="47" t="str">
        <f t="shared" si="0"/>
        <v>الأسبوع الثالث</v>
      </c>
      <c r="C18" s="47" t="s">
        <v>254</v>
      </c>
      <c r="D18" s="47">
        <v>45</v>
      </c>
      <c r="E18" s="47" t="s">
        <v>32</v>
      </c>
    </row>
    <row r="19" spans="1:5" ht="15" customHeight="1">
      <c r="A19" s="48">
        <v>46160</v>
      </c>
      <c r="B19" s="49" t="str">
        <f t="shared" si="0"/>
        <v>الأسبوع الثالث</v>
      </c>
      <c r="C19" s="49" t="s">
        <v>255</v>
      </c>
      <c r="D19" s="49">
        <v>47</v>
      </c>
      <c r="E19" s="49" t="s">
        <v>101</v>
      </c>
    </row>
    <row r="20" spans="1:5" ht="15" customHeight="1">
      <c r="A20" s="46">
        <v>46161</v>
      </c>
      <c r="B20" s="47" t="str">
        <f t="shared" si="0"/>
        <v>الأسبوع الثالث</v>
      </c>
      <c r="C20" s="47" t="s">
        <v>256</v>
      </c>
      <c r="D20" s="47">
        <v>48</v>
      </c>
      <c r="E20" s="47" t="s">
        <v>102</v>
      </c>
    </row>
    <row r="21" spans="1:5" ht="15" customHeight="1">
      <c r="A21" s="48">
        <v>46162</v>
      </c>
      <c r="B21" s="49" t="str">
        <f t="shared" si="0"/>
        <v>الأسبوع الثالث</v>
      </c>
      <c r="C21" s="49" t="s">
        <v>257</v>
      </c>
      <c r="D21" s="49">
        <v>49</v>
      </c>
      <c r="E21" s="49" t="s">
        <v>101</v>
      </c>
    </row>
    <row r="22" spans="1:5" ht="15" customHeight="1">
      <c r="A22" s="46">
        <v>46163</v>
      </c>
      <c r="B22" s="47" t="str">
        <f t="shared" si="0"/>
        <v>الأسبوع الثالث</v>
      </c>
      <c r="C22" s="47" t="s">
        <v>257</v>
      </c>
      <c r="D22" s="47">
        <v>51</v>
      </c>
      <c r="E22" s="47" t="s">
        <v>32</v>
      </c>
    </row>
    <row r="23" spans="1:5" ht="15" customHeight="1">
      <c r="A23" s="48">
        <v>46164</v>
      </c>
      <c r="B23" s="49" t="str">
        <f t="shared" si="0"/>
        <v>الأسبوع الرابع</v>
      </c>
      <c r="C23" s="49" t="s">
        <v>258</v>
      </c>
      <c r="D23" s="49">
        <v>52</v>
      </c>
      <c r="E23" s="49" t="s">
        <v>102</v>
      </c>
    </row>
    <row r="24" spans="1:5" ht="15" customHeight="1">
      <c r="A24" s="46">
        <v>46165</v>
      </c>
      <c r="B24" s="47" t="str">
        <f t="shared" si="0"/>
        <v>الأسبوع الرابع</v>
      </c>
      <c r="C24" s="47" t="s">
        <v>253</v>
      </c>
      <c r="D24" s="47">
        <v>53</v>
      </c>
      <c r="E24" s="47" t="s">
        <v>101</v>
      </c>
    </row>
    <row r="25" spans="1:5" ht="15" customHeight="1">
      <c r="A25" s="48">
        <v>46166</v>
      </c>
      <c r="B25" s="49" t="str">
        <f t="shared" si="0"/>
        <v>الأسبوع الرابع</v>
      </c>
      <c r="C25" s="49" t="s">
        <v>254</v>
      </c>
      <c r="D25" s="49">
        <v>55</v>
      </c>
      <c r="E25" s="49" t="s">
        <v>102</v>
      </c>
    </row>
    <row r="26" spans="1:5" ht="15" customHeight="1">
      <c r="A26" s="46">
        <v>46167</v>
      </c>
      <c r="B26" s="47" t="str">
        <f t="shared" si="0"/>
        <v>الأسبوع الرابع</v>
      </c>
      <c r="C26" s="47" t="s">
        <v>255</v>
      </c>
      <c r="D26" s="47">
        <v>56</v>
      </c>
      <c r="E26" s="47" t="s">
        <v>32</v>
      </c>
    </row>
    <row r="27" spans="1:5" ht="15" customHeight="1">
      <c r="A27" s="48">
        <v>46168</v>
      </c>
      <c r="B27" s="49" t="str">
        <f t="shared" si="0"/>
        <v>الأسبوع الرابع</v>
      </c>
      <c r="C27" s="49" t="s">
        <v>256</v>
      </c>
      <c r="D27" s="49">
        <v>57</v>
      </c>
      <c r="E27" s="49" t="s">
        <v>101</v>
      </c>
    </row>
    <row r="28" spans="1:5" ht="15" customHeight="1">
      <c r="A28" s="46">
        <v>46169</v>
      </c>
      <c r="B28" s="47" t="str">
        <f t="shared" si="0"/>
        <v>الأسبوع الرابع</v>
      </c>
      <c r="C28" s="47" t="s">
        <v>253</v>
      </c>
      <c r="D28" s="47">
        <v>59</v>
      </c>
      <c r="E28" s="47" t="s">
        <v>102</v>
      </c>
    </row>
    <row r="29" spans="1:5" ht="15" customHeight="1">
      <c r="A29" s="48">
        <v>46170</v>
      </c>
      <c r="B29" s="49" t="str">
        <f t="shared" si="0"/>
        <v>الأسبوع الرابع</v>
      </c>
      <c r="C29" s="49" t="s">
        <v>254</v>
      </c>
      <c r="D29" s="49">
        <v>60</v>
      </c>
      <c r="E29" s="49" t="s">
        <v>32</v>
      </c>
    </row>
    <row r="30" spans="1:5" ht="15" customHeight="1">
      <c r="A30" s="46">
        <v>46171</v>
      </c>
      <c r="B30" s="47" t="str">
        <f t="shared" si="0"/>
        <v>الأسبوع الخامس</v>
      </c>
      <c r="C30" s="47" t="s">
        <v>255</v>
      </c>
      <c r="D30" s="47">
        <v>61</v>
      </c>
      <c r="E30" s="47" t="s">
        <v>101</v>
      </c>
    </row>
    <row r="31" spans="1:5" ht="15" customHeight="1">
      <c r="A31" s="48">
        <v>46172</v>
      </c>
      <c r="B31" s="49" t="str">
        <f t="shared" si="0"/>
        <v>الأسبوع الخامس</v>
      </c>
      <c r="C31" s="49" t="s">
        <v>253</v>
      </c>
      <c r="D31" s="49">
        <v>62</v>
      </c>
      <c r="E31" s="49" t="s">
        <v>101</v>
      </c>
    </row>
    <row r="32" spans="1:5" ht="15" customHeight="1">
      <c r="A32" s="46">
        <v>46173</v>
      </c>
      <c r="B32" s="47" t="str">
        <f t="shared" si="0"/>
        <v>الأسبوع الخامس</v>
      </c>
      <c r="C32" s="47" t="s">
        <v>254</v>
      </c>
      <c r="D32" s="47">
        <v>64</v>
      </c>
      <c r="E32" s="47" t="s">
        <v>102</v>
      </c>
    </row>
    <row r="33" spans="1:5" ht="15" customHeight="1">
      <c r="A33" s="49"/>
      <c r="B33" s="49" t="str">
        <f t="shared" si="0"/>
        <v/>
      </c>
      <c r="C33" s="49"/>
      <c r="D33" s="49"/>
      <c r="E33" s="4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2E8F0"/>
  </sheetPr>
  <dimension ref="A1:F33"/>
  <sheetViews>
    <sheetView rightToLeft="1" zoomScaleNormal="100" workbookViewId="0"/>
  </sheetViews>
  <sheetFormatPr defaultColWidth="8.6640625" defaultRowHeight="14.4"/>
  <cols>
    <col min="1" max="1" width="23" customWidth="1"/>
    <col min="2" max="2" width="30" customWidth="1"/>
    <col min="3" max="3" width="18" customWidth="1"/>
    <col min="4" max="4" width="17" customWidth="1"/>
    <col min="5" max="5" width="26" customWidth="1"/>
    <col min="6" max="6" width="14" customWidth="1"/>
  </cols>
  <sheetData>
    <row r="1" spans="1:6" ht="21.75" customHeight="1">
      <c r="A1" s="45" t="s">
        <v>64</v>
      </c>
      <c r="B1" s="45" t="s">
        <v>103</v>
      </c>
      <c r="C1" s="45" t="s">
        <v>259</v>
      </c>
      <c r="D1" s="45" t="s">
        <v>58</v>
      </c>
      <c r="E1" s="45" t="s">
        <v>260</v>
      </c>
      <c r="F1" s="45" t="s">
        <v>261</v>
      </c>
    </row>
    <row r="2" spans="1:6" ht="15" customHeight="1">
      <c r="A2" s="46">
        <v>46143</v>
      </c>
      <c r="B2" s="47" t="str">
        <f t="shared" ref="B2:B32" si="0">IF(A2="","",CHOOSE(MIN(5,ROUNDUP(DAY(A2)/7,0)),"الأسبوع الأول","الأسبوع الثاني","الأسبوع الثالث","الأسبوع الرابع","الأسبوع الخامس"))</f>
        <v>الأسبوع الأول</v>
      </c>
      <c r="C2" s="47" t="s">
        <v>56</v>
      </c>
      <c r="D2" s="47" t="s">
        <v>101</v>
      </c>
      <c r="E2" s="47" t="s">
        <v>262</v>
      </c>
      <c r="F2" s="47" t="s">
        <v>263</v>
      </c>
    </row>
    <row r="3" spans="1:6" ht="15" customHeight="1">
      <c r="A3" s="48">
        <v>46144</v>
      </c>
      <c r="B3" s="49" t="str">
        <f t="shared" si="0"/>
        <v>الأسبوع الأول</v>
      </c>
      <c r="C3" s="49" t="s">
        <v>57</v>
      </c>
      <c r="D3" s="49" t="s">
        <v>102</v>
      </c>
      <c r="E3" s="49" t="s">
        <v>264</v>
      </c>
      <c r="F3" s="49" t="s">
        <v>265</v>
      </c>
    </row>
    <row r="4" spans="1:6" ht="15" customHeight="1">
      <c r="A4" s="46">
        <v>46145</v>
      </c>
      <c r="B4" s="47" t="str">
        <f t="shared" si="0"/>
        <v>الأسبوع الأول</v>
      </c>
      <c r="C4" s="47" t="s">
        <v>52</v>
      </c>
      <c r="D4" s="47" t="s">
        <v>32</v>
      </c>
      <c r="E4" s="47" t="s">
        <v>266</v>
      </c>
      <c r="F4" s="47" t="s">
        <v>267</v>
      </c>
    </row>
    <row r="5" spans="1:6" ht="15" customHeight="1">
      <c r="A5" s="48">
        <v>46146</v>
      </c>
      <c r="B5" s="49" t="str">
        <f t="shared" si="0"/>
        <v>الأسبوع الأول</v>
      </c>
      <c r="C5" s="49" t="s">
        <v>53</v>
      </c>
      <c r="D5" s="49" t="s">
        <v>102</v>
      </c>
      <c r="E5" s="49" t="s">
        <v>268</v>
      </c>
      <c r="F5" s="49" t="s">
        <v>269</v>
      </c>
    </row>
    <row r="6" spans="1:6" ht="15" customHeight="1">
      <c r="A6" s="46">
        <v>46147</v>
      </c>
      <c r="B6" s="47" t="str">
        <f t="shared" si="0"/>
        <v>الأسبوع الأول</v>
      </c>
      <c r="C6" s="47" t="s">
        <v>121</v>
      </c>
      <c r="D6" s="47" t="s">
        <v>32</v>
      </c>
      <c r="E6" s="47" t="s">
        <v>270</v>
      </c>
      <c r="F6" s="47" t="s">
        <v>263</v>
      </c>
    </row>
    <row r="7" spans="1:6" ht="15" customHeight="1">
      <c r="A7" s="48">
        <v>46148</v>
      </c>
      <c r="B7" s="49" t="str">
        <f t="shared" si="0"/>
        <v>الأسبوع الأول</v>
      </c>
      <c r="C7" s="49" t="s">
        <v>122</v>
      </c>
      <c r="D7" s="49" t="s">
        <v>101</v>
      </c>
      <c r="E7" s="49" t="s">
        <v>271</v>
      </c>
      <c r="F7" s="49" t="s">
        <v>272</v>
      </c>
    </row>
    <row r="8" spans="1:6" ht="15" customHeight="1">
      <c r="A8" s="46">
        <v>46149</v>
      </c>
      <c r="B8" s="47" t="str">
        <f t="shared" si="0"/>
        <v>الأسبوع الأول</v>
      </c>
      <c r="C8" s="47" t="s">
        <v>54</v>
      </c>
      <c r="D8" s="47" t="s">
        <v>32</v>
      </c>
      <c r="E8" s="47" t="s">
        <v>273</v>
      </c>
      <c r="F8" s="47" t="s">
        <v>274</v>
      </c>
    </row>
    <row r="9" spans="1:6" ht="15" customHeight="1">
      <c r="A9" s="48">
        <v>46150</v>
      </c>
      <c r="B9" s="49" t="str">
        <f t="shared" si="0"/>
        <v>الأسبوع الثاني</v>
      </c>
      <c r="C9" s="49" t="s">
        <v>55</v>
      </c>
      <c r="D9" s="49" t="s">
        <v>101</v>
      </c>
      <c r="E9" s="49" t="s">
        <v>275</v>
      </c>
      <c r="F9" s="49" t="s">
        <v>269</v>
      </c>
    </row>
    <row r="10" spans="1:6" ht="15" customHeight="1">
      <c r="A10" s="46">
        <v>46151</v>
      </c>
      <c r="B10" s="47" t="str">
        <f t="shared" si="0"/>
        <v>الأسبوع الثاني</v>
      </c>
      <c r="C10" s="47" t="s">
        <v>53</v>
      </c>
      <c r="D10" s="47" t="s">
        <v>102</v>
      </c>
      <c r="E10" s="47" t="s">
        <v>276</v>
      </c>
      <c r="F10" s="47" t="s">
        <v>277</v>
      </c>
    </row>
    <row r="11" spans="1:6" ht="15" customHeight="1">
      <c r="A11" s="48">
        <v>46152</v>
      </c>
      <c r="B11" s="49" t="str">
        <f t="shared" si="0"/>
        <v>الأسبوع الثاني</v>
      </c>
      <c r="C11" s="49" t="s">
        <v>55</v>
      </c>
      <c r="D11" s="49" t="s">
        <v>101</v>
      </c>
      <c r="E11" s="49" t="s">
        <v>278</v>
      </c>
      <c r="F11" s="49" t="s">
        <v>272</v>
      </c>
    </row>
    <row r="12" spans="1:6" ht="15" customHeight="1">
      <c r="A12" s="46">
        <v>46153</v>
      </c>
      <c r="B12" s="47" t="str">
        <f t="shared" si="0"/>
        <v>الأسبوع الثاني</v>
      </c>
      <c r="C12" s="47" t="s">
        <v>54</v>
      </c>
      <c r="D12" s="47" t="s">
        <v>102</v>
      </c>
      <c r="E12" s="47" t="s">
        <v>273</v>
      </c>
      <c r="F12" s="47" t="s">
        <v>274</v>
      </c>
    </row>
    <row r="13" spans="1:6" ht="15" customHeight="1">
      <c r="A13" s="48">
        <v>46154</v>
      </c>
      <c r="B13" s="49" t="str">
        <f t="shared" si="0"/>
        <v>الأسبوع الثاني</v>
      </c>
      <c r="C13" s="49" t="s">
        <v>52</v>
      </c>
      <c r="D13" s="49" t="s">
        <v>32</v>
      </c>
      <c r="E13" s="49" t="s">
        <v>279</v>
      </c>
      <c r="F13" s="49" t="s">
        <v>280</v>
      </c>
    </row>
    <row r="14" spans="1:6" ht="15" customHeight="1">
      <c r="A14" s="46">
        <v>46155</v>
      </c>
      <c r="B14" s="47" t="str">
        <f t="shared" si="0"/>
        <v>الأسبوع الثاني</v>
      </c>
      <c r="C14" s="47" t="s">
        <v>56</v>
      </c>
      <c r="D14" s="47" t="s">
        <v>101</v>
      </c>
      <c r="E14" s="47" t="s">
        <v>262</v>
      </c>
      <c r="F14" s="47" t="s">
        <v>263</v>
      </c>
    </row>
    <row r="15" spans="1:6" ht="15" customHeight="1">
      <c r="A15" s="48">
        <v>46156</v>
      </c>
      <c r="B15" s="49" t="str">
        <f t="shared" si="0"/>
        <v>الأسبوع الثاني</v>
      </c>
      <c r="C15" s="49" t="s">
        <v>57</v>
      </c>
      <c r="D15" s="49" t="s">
        <v>102</v>
      </c>
      <c r="E15" s="49" t="s">
        <v>264</v>
      </c>
      <c r="F15" s="49" t="s">
        <v>265</v>
      </c>
    </row>
    <row r="16" spans="1:6" ht="15" customHeight="1">
      <c r="A16" s="46">
        <v>46157</v>
      </c>
      <c r="B16" s="47" t="str">
        <f t="shared" si="0"/>
        <v>الأسبوع الثالث</v>
      </c>
      <c r="C16" s="47" t="s">
        <v>52</v>
      </c>
      <c r="D16" s="47" t="s">
        <v>32</v>
      </c>
      <c r="E16" s="47" t="s">
        <v>266</v>
      </c>
      <c r="F16" s="47" t="s">
        <v>267</v>
      </c>
    </row>
    <row r="17" spans="1:6" ht="15" customHeight="1">
      <c r="A17" s="48">
        <v>46158</v>
      </c>
      <c r="B17" s="49" t="str">
        <f t="shared" si="0"/>
        <v>الأسبوع الثالث</v>
      </c>
      <c r="C17" s="49" t="s">
        <v>53</v>
      </c>
      <c r="D17" s="49" t="s">
        <v>102</v>
      </c>
      <c r="E17" s="49" t="s">
        <v>268</v>
      </c>
      <c r="F17" s="49" t="s">
        <v>269</v>
      </c>
    </row>
    <row r="18" spans="1:6" ht="15" customHeight="1">
      <c r="A18" s="46">
        <v>46159</v>
      </c>
      <c r="B18" s="47" t="str">
        <f t="shared" si="0"/>
        <v>الأسبوع الثالث</v>
      </c>
      <c r="C18" s="47" t="s">
        <v>121</v>
      </c>
      <c r="D18" s="47" t="s">
        <v>32</v>
      </c>
      <c r="E18" s="47" t="s">
        <v>270</v>
      </c>
      <c r="F18" s="47" t="s">
        <v>263</v>
      </c>
    </row>
    <row r="19" spans="1:6" ht="15" customHeight="1">
      <c r="A19" s="48">
        <v>46160</v>
      </c>
      <c r="B19" s="49" t="str">
        <f t="shared" si="0"/>
        <v>الأسبوع الثالث</v>
      </c>
      <c r="C19" s="49" t="s">
        <v>122</v>
      </c>
      <c r="D19" s="49" t="s">
        <v>101</v>
      </c>
      <c r="E19" s="49" t="s">
        <v>271</v>
      </c>
      <c r="F19" s="49" t="s">
        <v>272</v>
      </c>
    </row>
    <row r="20" spans="1:6" ht="15" customHeight="1">
      <c r="A20" s="46">
        <v>46161</v>
      </c>
      <c r="B20" s="47" t="str">
        <f t="shared" si="0"/>
        <v>الأسبوع الثالث</v>
      </c>
      <c r="C20" s="47" t="s">
        <v>54</v>
      </c>
      <c r="D20" s="47" t="s">
        <v>32</v>
      </c>
      <c r="E20" s="47" t="s">
        <v>273</v>
      </c>
      <c r="F20" s="47" t="s">
        <v>274</v>
      </c>
    </row>
    <row r="21" spans="1:6" ht="15" customHeight="1">
      <c r="A21" s="48">
        <v>46162</v>
      </c>
      <c r="B21" s="49" t="str">
        <f t="shared" si="0"/>
        <v>الأسبوع الثالث</v>
      </c>
      <c r="C21" s="49" t="s">
        <v>55</v>
      </c>
      <c r="D21" s="49" t="s">
        <v>101</v>
      </c>
      <c r="E21" s="49" t="s">
        <v>275</v>
      </c>
      <c r="F21" s="49" t="s">
        <v>269</v>
      </c>
    </row>
    <row r="22" spans="1:6" ht="15" customHeight="1">
      <c r="A22" s="46">
        <v>46163</v>
      </c>
      <c r="B22" s="47" t="str">
        <f t="shared" si="0"/>
        <v>الأسبوع الثالث</v>
      </c>
      <c r="C22" s="47" t="s">
        <v>53</v>
      </c>
      <c r="D22" s="47" t="s">
        <v>102</v>
      </c>
      <c r="E22" s="47" t="s">
        <v>276</v>
      </c>
      <c r="F22" s="47" t="s">
        <v>277</v>
      </c>
    </row>
    <row r="23" spans="1:6" ht="15" customHeight="1">
      <c r="A23" s="48">
        <v>46164</v>
      </c>
      <c r="B23" s="49" t="str">
        <f t="shared" si="0"/>
        <v>الأسبوع الرابع</v>
      </c>
      <c r="C23" s="49" t="s">
        <v>55</v>
      </c>
      <c r="D23" s="49" t="s">
        <v>101</v>
      </c>
      <c r="E23" s="49" t="s">
        <v>278</v>
      </c>
      <c r="F23" s="49" t="s">
        <v>272</v>
      </c>
    </row>
    <row r="24" spans="1:6" ht="15" customHeight="1">
      <c r="A24" s="46">
        <v>46165</v>
      </c>
      <c r="B24" s="47" t="str">
        <f t="shared" si="0"/>
        <v>الأسبوع الرابع</v>
      </c>
      <c r="C24" s="47" t="s">
        <v>54</v>
      </c>
      <c r="D24" s="47" t="s">
        <v>102</v>
      </c>
      <c r="E24" s="47" t="s">
        <v>273</v>
      </c>
      <c r="F24" s="47" t="s">
        <v>274</v>
      </c>
    </row>
    <row r="25" spans="1:6" ht="15" customHeight="1">
      <c r="A25" s="48">
        <v>46166</v>
      </c>
      <c r="B25" s="49" t="str">
        <f t="shared" si="0"/>
        <v>الأسبوع الرابع</v>
      </c>
      <c r="C25" s="49" t="s">
        <v>52</v>
      </c>
      <c r="D25" s="49" t="s">
        <v>32</v>
      </c>
      <c r="E25" s="49" t="s">
        <v>279</v>
      </c>
      <c r="F25" s="49" t="s">
        <v>280</v>
      </c>
    </row>
    <row r="26" spans="1:6" ht="15" customHeight="1">
      <c r="A26" s="46">
        <v>46167</v>
      </c>
      <c r="B26" s="47" t="str">
        <f t="shared" si="0"/>
        <v>الأسبوع الرابع</v>
      </c>
      <c r="C26" s="47" t="s">
        <v>56</v>
      </c>
      <c r="D26" s="47" t="s">
        <v>101</v>
      </c>
      <c r="E26" s="47" t="s">
        <v>262</v>
      </c>
      <c r="F26" s="47" t="s">
        <v>263</v>
      </c>
    </row>
    <row r="27" spans="1:6" ht="15" customHeight="1">
      <c r="A27" s="48">
        <v>46168</v>
      </c>
      <c r="B27" s="49" t="str">
        <f t="shared" si="0"/>
        <v>الأسبوع الرابع</v>
      </c>
      <c r="C27" s="49" t="s">
        <v>57</v>
      </c>
      <c r="D27" s="49" t="s">
        <v>102</v>
      </c>
      <c r="E27" s="49" t="s">
        <v>264</v>
      </c>
      <c r="F27" s="49" t="s">
        <v>265</v>
      </c>
    </row>
    <row r="28" spans="1:6" ht="15" customHeight="1">
      <c r="A28" s="46">
        <v>46169</v>
      </c>
      <c r="B28" s="47" t="str">
        <f t="shared" si="0"/>
        <v>الأسبوع الرابع</v>
      </c>
      <c r="C28" s="47" t="s">
        <v>52</v>
      </c>
      <c r="D28" s="47" t="s">
        <v>32</v>
      </c>
      <c r="E28" s="47" t="s">
        <v>266</v>
      </c>
      <c r="F28" s="47" t="s">
        <v>267</v>
      </c>
    </row>
    <row r="29" spans="1:6" ht="15" customHeight="1">
      <c r="A29" s="48">
        <v>46170</v>
      </c>
      <c r="B29" s="49" t="str">
        <f t="shared" si="0"/>
        <v>الأسبوع الرابع</v>
      </c>
      <c r="C29" s="49" t="s">
        <v>53</v>
      </c>
      <c r="D29" s="49" t="s">
        <v>102</v>
      </c>
      <c r="E29" s="49" t="s">
        <v>268</v>
      </c>
      <c r="F29" s="49" t="s">
        <v>269</v>
      </c>
    </row>
    <row r="30" spans="1:6" ht="15" customHeight="1">
      <c r="A30" s="46">
        <v>46171</v>
      </c>
      <c r="B30" s="47" t="str">
        <f t="shared" si="0"/>
        <v>الأسبوع الخامس</v>
      </c>
      <c r="C30" s="47" t="s">
        <v>121</v>
      </c>
      <c r="D30" s="47" t="s">
        <v>32</v>
      </c>
      <c r="E30" s="47" t="s">
        <v>270</v>
      </c>
      <c r="F30" s="47" t="s">
        <v>263</v>
      </c>
    </row>
    <row r="31" spans="1:6" ht="15" customHeight="1">
      <c r="A31" s="48">
        <v>46172</v>
      </c>
      <c r="B31" s="49" t="str">
        <f t="shared" si="0"/>
        <v>الأسبوع الخامس</v>
      </c>
      <c r="C31" s="49" t="s">
        <v>122</v>
      </c>
      <c r="D31" s="49" t="s">
        <v>101</v>
      </c>
      <c r="E31" s="49" t="s">
        <v>271</v>
      </c>
      <c r="F31" s="49" t="s">
        <v>272</v>
      </c>
    </row>
    <row r="32" spans="1:6" ht="15" customHeight="1">
      <c r="A32" s="46">
        <v>46173</v>
      </c>
      <c r="B32" s="47" t="str">
        <f t="shared" si="0"/>
        <v>الأسبوع الخامس</v>
      </c>
      <c r="C32" s="47" t="s">
        <v>54</v>
      </c>
      <c r="D32" s="47" t="s">
        <v>32</v>
      </c>
      <c r="E32" s="47" t="s">
        <v>273</v>
      </c>
      <c r="F32" s="47" t="s">
        <v>274</v>
      </c>
    </row>
    <row r="33" spans="1:6" ht="15" customHeight="1">
      <c r="A33" s="49"/>
      <c r="B33" s="49"/>
      <c r="C33" s="49"/>
      <c r="D33" s="49"/>
      <c r="E33" s="49"/>
      <c r="F33" s="4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2E8F0"/>
  </sheetPr>
  <dimension ref="A1:F41"/>
  <sheetViews>
    <sheetView rightToLeft="1" zoomScaleNormal="100" workbookViewId="0"/>
  </sheetViews>
  <sheetFormatPr defaultColWidth="8.6640625" defaultRowHeight="14.4"/>
  <cols>
    <col min="1" max="1" width="23" customWidth="1"/>
    <col min="2" max="2" width="30" customWidth="1"/>
    <col min="3" max="3" width="14" customWidth="1"/>
    <col min="4" max="4" width="17" customWidth="1"/>
    <col min="5" max="5" width="15" customWidth="1"/>
    <col min="6" max="6" width="14" customWidth="1"/>
  </cols>
  <sheetData>
    <row r="1" spans="1:6" ht="21.75" customHeight="1">
      <c r="A1" s="45" t="s">
        <v>64</v>
      </c>
      <c r="B1" s="45" t="s">
        <v>103</v>
      </c>
      <c r="C1" s="45" t="s">
        <v>46</v>
      </c>
      <c r="D1" s="45" t="s">
        <v>58</v>
      </c>
      <c r="E1" s="45" t="s">
        <v>260</v>
      </c>
      <c r="F1" s="45" t="s">
        <v>261</v>
      </c>
    </row>
    <row r="2" spans="1:6" ht="15" customHeight="1">
      <c r="A2" s="46">
        <v>46143</v>
      </c>
      <c r="B2" s="47" t="str">
        <f t="shared" ref="B2:B32" si="0">IF(A2="","",CHOOSE(MIN(5,ROUNDUP(DAY(A2)/7,0)),"الأسبوع الأول","الأسبوع الثاني","الأسبوع الثالث","الأسبوع الرابع","الأسبوع الخامس"))</f>
        <v>الأسبوع الأول</v>
      </c>
      <c r="C2" s="47" t="s">
        <v>49</v>
      </c>
      <c r="D2" s="47" t="s">
        <v>101</v>
      </c>
      <c r="E2" s="47" t="s">
        <v>281</v>
      </c>
      <c r="F2" s="47" t="s">
        <v>263</v>
      </c>
    </row>
    <row r="3" spans="1:6" ht="15" customHeight="1">
      <c r="A3" s="48">
        <v>46144</v>
      </c>
      <c r="B3" s="49" t="str">
        <f t="shared" si="0"/>
        <v>الأسبوع الأول</v>
      </c>
      <c r="C3" s="49" t="s">
        <v>50</v>
      </c>
      <c r="D3" s="49" t="s">
        <v>102</v>
      </c>
      <c r="E3" s="49" t="s">
        <v>275</v>
      </c>
      <c r="F3" s="49" t="s">
        <v>269</v>
      </c>
    </row>
    <row r="4" spans="1:6" ht="15" customHeight="1">
      <c r="A4" s="46">
        <v>46145</v>
      </c>
      <c r="B4" s="47" t="str">
        <f t="shared" si="0"/>
        <v>الأسبوع الأول</v>
      </c>
      <c r="C4" s="47" t="s">
        <v>48</v>
      </c>
      <c r="D4" s="47" t="s">
        <v>32</v>
      </c>
      <c r="E4" s="47" t="s">
        <v>273</v>
      </c>
      <c r="F4" s="47" t="s">
        <v>274</v>
      </c>
    </row>
    <row r="5" spans="1:6" ht="15" customHeight="1">
      <c r="A5" s="48">
        <v>46146</v>
      </c>
      <c r="B5" s="49" t="str">
        <f t="shared" si="0"/>
        <v>الأسبوع الأول</v>
      </c>
      <c r="C5" s="49" t="s">
        <v>48</v>
      </c>
      <c r="D5" s="49" t="s">
        <v>101</v>
      </c>
      <c r="E5" s="49" t="s">
        <v>278</v>
      </c>
      <c r="F5" s="49" t="s">
        <v>272</v>
      </c>
    </row>
    <row r="6" spans="1:6" ht="15" customHeight="1">
      <c r="A6" s="46">
        <v>46147</v>
      </c>
      <c r="B6" s="47" t="str">
        <f t="shared" si="0"/>
        <v>الأسبوع الأول</v>
      </c>
      <c r="C6" s="47" t="s">
        <v>48</v>
      </c>
      <c r="D6" s="47" t="s">
        <v>102</v>
      </c>
      <c r="E6" s="47" t="s">
        <v>282</v>
      </c>
      <c r="F6" s="47" t="s">
        <v>265</v>
      </c>
    </row>
    <row r="7" spans="1:6" ht="15" customHeight="1">
      <c r="A7" s="48">
        <v>46148</v>
      </c>
      <c r="B7" s="49" t="str">
        <f t="shared" si="0"/>
        <v>الأسبوع الأول</v>
      </c>
      <c r="C7" s="49" t="s">
        <v>49</v>
      </c>
      <c r="D7" s="49" t="s">
        <v>32</v>
      </c>
      <c r="E7" s="49" t="s">
        <v>283</v>
      </c>
      <c r="F7" s="49" t="s">
        <v>263</v>
      </c>
    </row>
    <row r="8" spans="1:6" ht="15" customHeight="1">
      <c r="A8" s="46">
        <v>46149</v>
      </c>
      <c r="B8" s="47" t="str">
        <f t="shared" si="0"/>
        <v>الأسبوع الأول</v>
      </c>
      <c r="C8" s="47" t="s">
        <v>50</v>
      </c>
      <c r="D8" s="47" t="s">
        <v>101</v>
      </c>
      <c r="E8" s="47" t="s">
        <v>275</v>
      </c>
      <c r="F8" s="47" t="s">
        <v>269</v>
      </c>
    </row>
    <row r="9" spans="1:6" ht="15" customHeight="1">
      <c r="A9" s="48">
        <v>46150</v>
      </c>
      <c r="B9" s="49" t="str">
        <f t="shared" si="0"/>
        <v>الأسبوع الثاني</v>
      </c>
      <c r="C9" s="49" t="s">
        <v>48</v>
      </c>
      <c r="D9" s="49" t="s">
        <v>102</v>
      </c>
      <c r="E9" s="49" t="s">
        <v>273</v>
      </c>
      <c r="F9" s="49" t="s">
        <v>274</v>
      </c>
    </row>
    <row r="10" spans="1:6" ht="15" customHeight="1">
      <c r="A10" s="46">
        <v>46151</v>
      </c>
      <c r="B10" s="47" t="str">
        <f t="shared" si="0"/>
        <v>الأسبوع الثاني</v>
      </c>
      <c r="C10" s="47" t="s">
        <v>48</v>
      </c>
      <c r="D10" s="47" t="s">
        <v>101</v>
      </c>
      <c r="E10" s="47" t="s">
        <v>278</v>
      </c>
      <c r="F10" s="47" t="s">
        <v>272</v>
      </c>
    </row>
    <row r="11" spans="1:6" ht="15" customHeight="1">
      <c r="A11" s="48">
        <v>46152</v>
      </c>
      <c r="B11" s="49" t="str">
        <f t="shared" si="0"/>
        <v>الأسبوع الثاني</v>
      </c>
      <c r="C11" s="49" t="s">
        <v>48</v>
      </c>
      <c r="D11" s="49" t="s">
        <v>32</v>
      </c>
      <c r="E11" s="49" t="s">
        <v>282</v>
      </c>
      <c r="F11" s="49" t="s">
        <v>265</v>
      </c>
    </row>
    <row r="12" spans="1:6" ht="15" customHeight="1">
      <c r="A12" s="46">
        <v>46153</v>
      </c>
      <c r="B12" s="47" t="str">
        <f t="shared" si="0"/>
        <v>الأسبوع الثاني</v>
      </c>
      <c r="C12" s="47" t="s">
        <v>49</v>
      </c>
      <c r="D12" s="47" t="s">
        <v>101</v>
      </c>
      <c r="E12" s="47" t="s">
        <v>281</v>
      </c>
      <c r="F12" s="47" t="s">
        <v>263</v>
      </c>
    </row>
    <row r="13" spans="1:6" ht="15" customHeight="1">
      <c r="A13" s="48">
        <v>46154</v>
      </c>
      <c r="B13" s="49" t="str">
        <f t="shared" si="0"/>
        <v>الأسبوع الثاني</v>
      </c>
      <c r="C13" s="49" t="s">
        <v>50</v>
      </c>
      <c r="D13" s="49" t="s">
        <v>102</v>
      </c>
      <c r="E13" s="49" t="s">
        <v>275</v>
      </c>
      <c r="F13" s="49" t="s">
        <v>269</v>
      </c>
    </row>
    <row r="14" spans="1:6" ht="15" customHeight="1">
      <c r="A14" s="46">
        <v>46155</v>
      </c>
      <c r="B14" s="47" t="str">
        <f t="shared" si="0"/>
        <v>الأسبوع الثاني</v>
      </c>
      <c r="C14" s="47" t="s">
        <v>48</v>
      </c>
      <c r="D14" s="47" t="s">
        <v>32</v>
      </c>
      <c r="E14" s="47" t="s">
        <v>273</v>
      </c>
      <c r="F14" s="47" t="s">
        <v>274</v>
      </c>
    </row>
    <row r="15" spans="1:6" ht="15" customHeight="1">
      <c r="A15" s="48">
        <v>46156</v>
      </c>
      <c r="B15" s="49" t="str">
        <f t="shared" si="0"/>
        <v>الأسبوع الثاني</v>
      </c>
      <c r="C15" s="49" t="s">
        <v>48</v>
      </c>
      <c r="D15" s="49" t="s">
        <v>101</v>
      </c>
      <c r="E15" s="49" t="s">
        <v>278</v>
      </c>
      <c r="F15" s="49" t="s">
        <v>272</v>
      </c>
    </row>
    <row r="16" spans="1:6" ht="15" customHeight="1">
      <c r="A16" s="46">
        <v>46157</v>
      </c>
      <c r="B16" s="47" t="str">
        <f t="shared" si="0"/>
        <v>الأسبوع الثالث</v>
      </c>
      <c r="C16" s="47" t="s">
        <v>48</v>
      </c>
      <c r="D16" s="47" t="s">
        <v>102</v>
      </c>
      <c r="E16" s="47" t="s">
        <v>282</v>
      </c>
      <c r="F16" s="47" t="s">
        <v>265</v>
      </c>
    </row>
    <row r="17" spans="1:6" ht="15" customHeight="1">
      <c r="A17" s="48">
        <v>46158</v>
      </c>
      <c r="B17" s="49" t="str">
        <f t="shared" si="0"/>
        <v>الأسبوع الثالث</v>
      </c>
      <c r="C17" s="49" t="s">
        <v>49</v>
      </c>
      <c r="D17" s="49" t="s">
        <v>32</v>
      </c>
      <c r="E17" s="49" t="s">
        <v>283</v>
      </c>
      <c r="F17" s="49" t="s">
        <v>263</v>
      </c>
    </row>
    <row r="18" spans="1:6" ht="15" customHeight="1">
      <c r="A18" s="46">
        <v>46159</v>
      </c>
      <c r="B18" s="47" t="str">
        <f t="shared" si="0"/>
        <v>الأسبوع الثالث</v>
      </c>
      <c r="C18" s="47" t="s">
        <v>50</v>
      </c>
      <c r="D18" s="47" t="s">
        <v>101</v>
      </c>
      <c r="E18" s="47" t="s">
        <v>275</v>
      </c>
      <c r="F18" s="47" t="s">
        <v>269</v>
      </c>
    </row>
    <row r="19" spans="1:6" ht="15" customHeight="1">
      <c r="A19" s="48">
        <v>46160</v>
      </c>
      <c r="B19" s="49" t="str">
        <f t="shared" si="0"/>
        <v>الأسبوع الثالث</v>
      </c>
      <c r="C19" s="49" t="s">
        <v>48</v>
      </c>
      <c r="D19" s="49" t="s">
        <v>102</v>
      </c>
      <c r="E19" s="49" t="s">
        <v>273</v>
      </c>
      <c r="F19" s="49" t="s">
        <v>274</v>
      </c>
    </row>
    <row r="20" spans="1:6" ht="15" customHeight="1">
      <c r="A20" s="46">
        <v>46161</v>
      </c>
      <c r="B20" s="47" t="str">
        <f t="shared" si="0"/>
        <v>الأسبوع الثالث</v>
      </c>
      <c r="C20" s="47" t="s">
        <v>48</v>
      </c>
      <c r="D20" s="47" t="s">
        <v>101</v>
      </c>
      <c r="E20" s="47" t="s">
        <v>278</v>
      </c>
      <c r="F20" s="47" t="s">
        <v>272</v>
      </c>
    </row>
    <row r="21" spans="1:6" ht="15" customHeight="1">
      <c r="A21" s="48">
        <v>46162</v>
      </c>
      <c r="B21" s="49" t="str">
        <f t="shared" si="0"/>
        <v>الأسبوع الثالث</v>
      </c>
      <c r="C21" s="49" t="s">
        <v>48</v>
      </c>
      <c r="D21" s="49" t="s">
        <v>32</v>
      </c>
      <c r="E21" s="49" t="s">
        <v>282</v>
      </c>
      <c r="F21" s="49" t="s">
        <v>265</v>
      </c>
    </row>
    <row r="22" spans="1:6" ht="15" customHeight="1">
      <c r="A22" s="46">
        <v>46163</v>
      </c>
      <c r="B22" s="47" t="str">
        <f t="shared" si="0"/>
        <v>الأسبوع الثالث</v>
      </c>
      <c r="C22" s="47" t="s">
        <v>49</v>
      </c>
      <c r="D22" s="47" t="s">
        <v>101</v>
      </c>
      <c r="E22" s="47" t="s">
        <v>281</v>
      </c>
      <c r="F22" s="47" t="s">
        <v>263</v>
      </c>
    </row>
    <row r="23" spans="1:6" ht="15" customHeight="1">
      <c r="A23" s="48">
        <v>46164</v>
      </c>
      <c r="B23" s="49" t="str">
        <f t="shared" si="0"/>
        <v>الأسبوع الرابع</v>
      </c>
      <c r="C23" s="49" t="s">
        <v>50</v>
      </c>
      <c r="D23" s="49" t="s">
        <v>102</v>
      </c>
      <c r="E23" s="49" t="s">
        <v>275</v>
      </c>
      <c r="F23" s="49" t="s">
        <v>269</v>
      </c>
    </row>
    <row r="24" spans="1:6" ht="15" customHeight="1">
      <c r="A24" s="46">
        <v>46165</v>
      </c>
      <c r="B24" s="47" t="str">
        <f t="shared" si="0"/>
        <v>الأسبوع الرابع</v>
      </c>
      <c r="C24" s="47" t="s">
        <v>48</v>
      </c>
      <c r="D24" s="47" t="s">
        <v>32</v>
      </c>
      <c r="E24" s="47" t="s">
        <v>273</v>
      </c>
      <c r="F24" s="47" t="s">
        <v>274</v>
      </c>
    </row>
    <row r="25" spans="1:6" ht="15" customHeight="1">
      <c r="A25" s="48">
        <v>46166</v>
      </c>
      <c r="B25" s="49" t="str">
        <f t="shared" si="0"/>
        <v>الأسبوع الرابع</v>
      </c>
      <c r="C25" s="49" t="s">
        <v>48</v>
      </c>
      <c r="D25" s="49" t="s">
        <v>101</v>
      </c>
      <c r="E25" s="49" t="s">
        <v>278</v>
      </c>
      <c r="F25" s="49" t="s">
        <v>272</v>
      </c>
    </row>
    <row r="26" spans="1:6" ht="15" customHeight="1">
      <c r="A26" s="46">
        <v>46167</v>
      </c>
      <c r="B26" s="47" t="str">
        <f t="shared" si="0"/>
        <v>الأسبوع الرابع</v>
      </c>
      <c r="C26" s="47" t="s">
        <v>48</v>
      </c>
      <c r="D26" s="47" t="s">
        <v>102</v>
      </c>
      <c r="E26" s="47" t="s">
        <v>282</v>
      </c>
      <c r="F26" s="47" t="s">
        <v>265</v>
      </c>
    </row>
    <row r="27" spans="1:6" ht="15" customHeight="1">
      <c r="A27" s="48">
        <v>46168</v>
      </c>
      <c r="B27" s="49" t="str">
        <f t="shared" si="0"/>
        <v>الأسبوع الرابع</v>
      </c>
      <c r="C27" s="49" t="s">
        <v>49</v>
      </c>
      <c r="D27" s="49" t="s">
        <v>32</v>
      </c>
      <c r="E27" s="49" t="s">
        <v>283</v>
      </c>
      <c r="F27" s="49" t="s">
        <v>263</v>
      </c>
    </row>
    <row r="28" spans="1:6" ht="15" customHeight="1">
      <c r="A28" s="46">
        <v>46169</v>
      </c>
      <c r="B28" s="47" t="str">
        <f t="shared" si="0"/>
        <v>الأسبوع الرابع</v>
      </c>
      <c r="C28" s="47" t="s">
        <v>50</v>
      </c>
      <c r="D28" s="47" t="s">
        <v>101</v>
      </c>
      <c r="E28" s="47" t="s">
        <v>275</v>
      </c>
      <c r="F28" s="47" t="s">
        <v>269</v>
      </c>
    </row>
    <row r="29" spans="1:6" ht="15" customHeight="1">
      <c r="A29" s="48">
        <v>46170</v>
      </c>
      <c r="B29" s="49" t="str">
        <f t="shared" si="0"/>
        <v>الأسبوع الرابع</v>
      </c>
      <c r="C29" s="49" t="s">
        <v>48</v>
      </c>
      <c r="D29" s="49" t="s">
        <v>102</v>
      </c>
      <c r="E29" s="49" t="s">
        <v>273</v>
      </c>
      <c r="F29" s="49" t="s">
        <v>274</v>
      </c>
    </row>
    <row r="30" spans="1:6" ht="15" customHeight="1">
      <c r="A30" s="46">
        <v>46171</v>
      </c>
      <c r="B30" s="47" t="str">
        <f t="shared" si="0"/>
        <v>الأسبوع الخامس</v>
      </c>
      <c r="C30" s="47" t="s">
        <v>48</v>
      </c>
      <c r="D30" s="47" t="s">
        <v>101</v>
      </c>
      <c r="E30" s="47" t="s">
        <v>278</v>
      </c>
      <c r="F30" s="47" t="s">
        <v>272</v>
      </c>
    </row>
    <row r="31" spans="1:6" ht="15" customHeight="1">
      <c r="A31" s="48">
        <v>46172</v>
      </c>
      <c r="B31" s="49" t="str">
        <f t="shared" si="0"/>
        <v>الأسبوع الخامس</v>
      </c>
      <c r="C31" s="49" t="s">
        <v>48</v>
      </c>
      <c r="D31" s="49" t="s">
        <v>32</v>
      </c>
      <c r="E31" s="49" t="s">
        <v>282</v>
      </c>
      <c r="F31" s="49" t="s">
        <v>265</v>
      </c>
    </row>
    <row r="32" spans="1:6" ht="15" customHeight="1">
      <c r="A32" s="46">
        <v>46173</v>
      </c>
      <c r="B32" s="47" t="str">
        <f t="shared" si="0"/>
        <v>الأسبوع الخامس</v>
      </c>
      <c r="C32" s="47" t="s">
        <v>49</v>
      </c>
      <c r="D32" s="47" t="s">
        <v>101</v>
      </c>
      <c r="E32" s="47" t="s">
        <v>281</v>
      </c>
      <c r="F32" s="47" t="s">
        <v>263</v>
      </c>
    </row>
    <row r="33" spans="1:6" ht="15" customHeight="1">
      <c r="A33" s="49"/>
      <c r="B33" s="49"/>
      <c r="C33" s="49"/>
      <c r="D33" s="49"/>
      <c r="E33" s="49"/>
      <c r="F33" s="49"/>
    </row>
    <row r="34" spans="1:6" ht="15" customHeight="1">
      <c r="A34" s="47"/>
      <c r="B34" s="47"/>
      <c r="C34" s="47"/>
      <c r="D34" s="47"/>
      <c r="E34" s="47"/>
      <c r="F34" s="47"/>
    </row>
    <row r="35" spans="1:6" ht="15" customHeight="1">
      <c r="A35" s="49"/>
      <c r="B35" s="49"/>
      <c r="C35" s="49"/>
      <c r="D35" s="49"/>
      <c r="E35" s="49"/>
      <c r="F35" s="49"/>
    </row>
    <row r="36" spans="1:6" ht="15" customHeight="1">
      <c r="A36" s="47"/>
      <c r="B36" s="47"/>
      <c r="C36" s="47"/>
      <c r="D36" s="47"/>
      <c r="E36" s="47"/>
      <c r="F36" s="47"/>
    </row>
    <row r="37" spans="1:6" ht="15" customHeight="1">
      <c r="A37" s="49"/>
      <c r="B37" s="49"/>
      <c r="C37" s="49"/>
      <c r="D37" s="49"/>
      <c r="E37" s="49"/>
      <c r="F37" s="49"/>
    </row>
    <row r="38" spans="1:6" ht="15" customHeight="1">
      <c r="A38" s="47"/>
      <c r="B38" s="47"/>
      <c r="C38" s="47"/>
      <c r="D38" s="47"/>
      <c r="E38" s="47"/>
      <c r="F38" s="47"/>
    </row>
    <row r="39" spans="1:6" ht="15" customHeight="1">
      <c r="A39" s="49"/>
      <c r="B39" s="49"/>
      <c r="C39" s="49"/>
      <c r="D39" s="49"/>
      <c r="E39" s="49"/>
      <c r="F39" s="49"/>
    </row>
    <row r="40" spans="1:6" ht="15" customHeight="1">
      <c r="A40" s="47"/>
      <c r="B40" s="47"/>
      <c r="C40" s="47"/>
      <c r="D40" s="47"/>
      <c r="E40" s="47"/>
      <c r="F40" s="47"/>
    </row>
    <row r="41" spans="1:6" ht="15" customHeight="1">
      <c r="A41" s="49"/>
      <c r="B41" s="49"/>
      <c r="C41" s="49"/>
      <c r="D41" s="49"/>
      <c r="E41" s="49"/>
      <c r="F41" s="4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2E8F0"/>
  </sheetPr>
  <dimension ref="A1:E41"/>
  <sheetViews>
    <sheetView rightToLeft="1" zoomScaleNormal="100" workbookViewId="0"/>
  </sheetViews>
  <sheetFormatPr defaultColWidth="8.6640625" defaultRowHeight="14.4"/>
  <cols>
    <col min="1" max="1" width="23" customWidth="1"/>
    <col min="2" max="2" width="30" customWidth="1"/>
    <col min="3" max="3" width="17" customWidth="1"/>
    <col min="4" max="4" width="18" customWidth="1"/>
    <col min="5" max="5" width="17" customWidth="1"/>
  </cols>
  <sheetData>
    <row r="1" spans="1:5" ht="21.75" customHeight="1">
      <c r="A1" s="45" t="s">
        <v>64</v>
      </c>
      <c r="B1" s="45" t="s">
        <v>103</v>
      </c>
      <c r="C1" s="45" t="s">
        <v>164</v>
      </c>
      <c r="D1" s="45" t="s">
        <v>284</v>
      </c>
      <c r="E1" s="45" t="s">
        <v>285</v>
      </c>
    </row>
    <row r="2" spans="1:5" ht="15" customHeight="1">
      <c r="A2" s="46">
        <v>46143</v>
      </c>
      <c r="B2" s="47" t="str">
        <f t="shared" ref="B2:B32" si="0">IF(A2="","",CHOOSE(MIN(5,ROUNDUP(DAY(A2)/7,0)),"الأسبوع الأول","الأسبوع الثاني","الأسبوع الثالث","الأسبوع الرابع","الأسبوع الخامس"))</f>
        <v>الأسبوع الأول</v>
      </c>
      <c r="C2" s="47" t="s">
        <v>101</v>
      </c>
      <c r="D2" s="47" t="s">
        <v>80</v>
      </c>
      <c r="E2" s="47">
        <v>20</v>
      </c>
    </row>
    <row r="3" spans="1:5" ht="15" customHeight="1">
      <c r="A3" s="48">
        <v>46144</v>
      </c>
      <c r="B3" s="49" t="str">
        <f t="shared" si="0"/>
        <v>الأسبوع الأول</v>
      </c>
      <c r="C3" s="49" t="s">
        <v>102</v>
      </c>
      <c r="D3" s="49" t="s">
        <v>81</v>
      </c>
      <c r="E3" s="49">
        <v>18</v>
      </c>
    </row>
    <row r="4" spans="1:5" ht="15" customHeight="1">
      <c r="A4" s="46">
        <v>46145</v>
      </c>
      <c r="B4" s="47" t="str">
        <f t="shared" si="0"/>
        <v>الأسبوع الأول</v>
      </c>
      <c r="C4" s="47" t="s">
        <v>32</v>
      </c>
      <c r="D4" s="47" t="s">
        <v>82</v>
      </c>
      <c r="E4" s="47">
        <v>15</v>
      </c>
    </row>
    <row r="5" spans="1:5" ht="15" customHeight="1">
      <c r="A5" s="48">
        <v>46146</v>
      </c>
      <c r="B5" s="49" t="str">
        <f t="shared" si="0"/>
        <v>الأسبوع الأول</v>
      </c>
      <c r="C5" s="49" t="s">
        <v>101</v>
      </c>
      <c r="D5" s="49" t="s">
        <v>83</v>
      </c>
      <c r="E5" s="49">
        <v>22</v>
      </c>
    </row>
    <row r="6" spans="1:5" ht="15" customHeight="1">
      <c r="A6" s="46">
        <v>46147</v>
      </c>
      <c r="B6" s="47" t="str">
        <f t="shared" si="0"/>
        <v>الأسبوع الأول</v>
      </c>
      <c r="C6" s="47" t="s">
        <v>102</v>
      </c>
      <c r="D6" s="47" t="s">
        <v>81</v>
      </c>
      <c r="E6" s="47">
        <v>19</v>
      </c>
    </row>
    <row r="7" spans="1:5" ht="15" customHeight="1">
      <c r="A7" s="48">
        <v>46148</v>
      </c>
      <c r="B7" s="49" t="str">
        <f t="shared" si="0"/>
        <v>الأسبوع الأول</v>
      </c>
      <c r="C7" s="49" t="s">
        <v>32</v>
      </c>
      <c r="D7" s="49" t="s">
        <v>80</v>
      </c>
      <c r="E7" s="49">
        <v>17</v>
      </c>
    </row>
    <row r="8" spans="1:5" ht="15" customHeight="1">
      <c r="A8" s="46">
        <v>46149</v>
      </c>
      <c r="B8" s="47" t="str">
        <f t="shared" si="0"/>
        <v>الأسبوع الأول</v>
      </c>
      <c r="C8" s="47" t="s">
        <v>101</v>
      </c>
      <c r="D8" s="47" t="s">
        <v>82</v>
      </c>
      <c r="E8" s="47">
        <v>21</v>
      </c>
    </row>
    <row r="9" spans="1:5" ht="15" customHeight="1">
      <c r="A9" s="48">
        <v>46150</v>
      </c>
      <c r="B9" s="49" t="str">
        <f t="shared" si="0"/>
        <v>الأسبوع الثاني</v>
      </c>
      <c r="C9" s="49" t="s">
        <v>102</v>
      </c>
      <c r="D9" s="49" t="s">
        <v>83</v>
      </c>
      <c r="E9" s="49">
        <v>20</v>
      </c>
    </row>
    <row r="10" spans="1:5" ht="15" customHeight="1">
      <c r="A10" s="46">
        <v>46151</v>
      </c>
      <c r="B10" s="47" t="str">
        <f t="shared" si="0"/>
        <v>الأسبوع الثاني</v>
      </c>
      <c r="C10" s="47" t="s">
        <v>101</v>
      </c>
      <c r="D10" s="47" t="s">
        <v>81</v>
      </c>
      <c r="E10" s="47">
        <v>24</v>
      </c>
    </row>
    <row r="11" spans="1:5" ht="15" customHeight="1">
      <c r="A11" s="48">
        <v>46152</v>
      </c>
      <c r="B11" s="49" t="str">
        <f t="shared" si="0"/>
        <v>الأسبوع الثاني</v>
      </c>
      <c r="C11" s="49" t="s">
        <v>32</v>
      </c>
      <c r="D11" s="49" t="s">
        <v>80</v>
      </c>
      <c r="E11" s="49">
        <v>16</v>
      </c>
    </row>
    <row r="12" spans="1:5" ht="15" customHeight="1">
      <c r="A12" s="46">
        <v>46153</v>
      </c>
      <c r="B12" s="47" t="str">
        <f t="shared" si="0"/>
        <v>الأسبوع الثاني</v>
      </c>
      <c r="C12" s="47" t="s">
        <v>101</v>
      </c>
      <c r="D12" s="47" t="s">
        <v>80</v>
      </c>
      <c r="E12" s="47">
        <v>20</v>
      </c>
    </row>
    <row r="13" spans="1:5" ht="15" customHeight="1">
      <c r="A13" s="48">
        <v>46154</v>
      </c>
      <c r="B13" s="49" t="str">
        <f t="shared" si="0"/>
        <v>الأسبوع الثاني</v>
      </c>
      <c r="C13" s="49" t="s">
        <v>102</v>
      </c>
      <c r="D13" s="49" t="s">
        <v>81</v>
      </c>
      <c r="E13" s="49">
        <v>18</v>
      </c>
    </row>
    <row r="14" spans="1:5" ht="15" customHeight="1">
      <c r="A14" s="46">
        <v>46155</v>
      </c>
      <c r="B14" s="47" t="str">
        <f t="shared" si="0"/>
        <v>الأسبوع الثاني</v>
      </c>
      <c r="C14" s="47" t="s">
        <v>32</v>
      </c>
      <c r="D14" s="47" t="s">
        <v>82</v>
      </c>
      <c r="E14" s="47">
        <v>15</v>
      </c>
    </row>
    <row r="15" spans="1:5" ht="15" customHeight="1">
      <c r="A15" s="48">
        <v>46156</v>
      </c>
      <c r="B15" s="49" t="str">
        <f t="shared" si="0"/>
        <v>الأسبوع الثاني</v>
      </c>
      <c r="C15" s="49" t="s">
        <v>101</v>
      </c>
      <c r="D15" s="49" t="s">
        <v>83</v>
      </c>
      <c r="E15" s="49">
        <v>22</v>
      </c>
    </row>
    <row r="16" spans="1:5" ht="15" customHeight="1">
      <c r="A16" s="46">
        <v>46157</v>
      </c>
      <c r="B16" s="47" t="str">
        <f t="shared" si="0"/>
        <v>الأسبوع الثالث</v>
      </c>
      <c r="C16" s="47" t="s">
        <v>102</v>
      </c>
      <c r="D16" s="47" t="s">
        <v>81</v>
      </c>
      <c r="E16" s="47">
        <v>19</v>
      </c>
    </row>
    <row r="17" spans="1:5" ht="15" customHeight="1">
      <c r="A17" s="48">
        <v>46158</v>
      </c>
      <c r="B17" s="49" t="str">
        <f t="shared" si="0"/>
        <v>الأسبوع الثالث</v>
      </c>
      <c r="C17" s="49" t="s">
        <v>32</v>
      </c>
      <c r="D17" s="49" t="s">
        <v>80</v>
      </c>
      <c r="E17" s="49">
        <v>17</v>
      </c>
    </row>
    <row r="18" spans="1:5" ht="15" customHeight="1">
      <c r="A18" s="46">
        <v>46159</v>
      </c>
      <c r="B18" s="47" t="str">
        <f t="shared" si="0"/>
        <v>الأسبوع الثالث</v>
      </c>
      <c r="C18" s="47" t="s">
        <v>101</v>
      </c>
      <c r="D18" s="47" t="s">
        <v>82</v>
      </c>
      <c r="E18" s="47">
        <v>21</v>
      </c>
    </row>
    <row r="19" spans="1:5" ht="15" customHeight="1">
      <c r="A19" s="48">
        <v>46160</v>
      </c>
      <c r="B19" s="49" t="str">
        <f t="shared" si="0"/>
        <v>الأسبوع الثالث</v>
      </c>
      <c r="C19" s="49" t="s">
        <v>102</v>
      </c>
      <c r="D19" s="49" t="s">
        <v>83</v>
      </c>
      <c r="E19" s="49">
        <v>20</v>
      </c>
    </row>
    <row r="20" spans="1:5" ht="15" customHeight="1">
      <c r="A20" s="46">
        <v>46161</v>
      </c>
      <c r="B20" s="47" t="str">
        <f t="shared" si="0"/>
        <v>الأسبوع الثالث</v>
      </c>
      <c r="C20" s="47" t="s">
        <v>101</v>
      </c>
      <c r="D20" s="47" t="s">
        <v>81</v>
      </c>
      <c r="E20" s="47">
        <v>24</v>
      </c>
    </row>
    <row r="21" spans="1:5" ht="15" customHeight="1">
      <c r="A21" s="48">
        <v>46162</v>
      </c>
      <c r="B21" s="49" t="str">
        <f t="shared" si="0"/>
        <v>الأسبوع الثالث</v>
      </c>
      <c r="C21" s="49" t="s">
        <v>32</v>
      </c>
      <c r="D21" s="49" t="s">
        <v>80</v>
      </c>
      <c r="E21" s="49">
        <v>16</v>
      </c>
    </row>
    <row r="22" spans="1:5" ht="15" customHeight="1">
      <c r="A22" s="46">
        <v>46163</v>
      </c>
      <c r="B22" s="47" t="str">
        <f t="shared" si="0"/>
        <v>الأسبوع الثالث</v>
      </c>
      <c r="C22" s="47" t="s">
        <v>101</v>
      </c>
      <c r="D22" s="47" t="s">
        <v>80</v>
      </c>
      <c r="E22" s="47">
        <v>20</v>
      </c>
    </row>
    <row r="23" spans="1:5" ht="15" customHeight="1">
      <c r="A23" s="48">
        <v>46164</v>
      </c>
      <c r="B23" s="49" t="str">
        <f t="shared" si="0"/>
        <v>الأسبوع الرابع</v>
      </c>
      <c r="C23" s="49" t="s">
        <v>102</v>
      </c>
      <c r="D23" s="49" t="s">
        <v>81</v>
      </c>
      <c r="E23" s="49">
        <v>18</v>
      </c>
    </row>
    <row r="24" spans="1:5" ht="15" customHeight="1">
      <c r="A24" s="46">
        <v>46165</v>
      </c>
      <c r="B24" s="47" t="str">
        <f t="shared" si="0"/>
        <v>الأسبوع الرابع</v>
      </c>
      <c r="C24" s="47" t="s">
        <v>32</v>
      </c>
      <c r="D24" s="47" t="s">
        <v>82</v>
      </c>
      <c r="E24" s="47">
        <v>15</v>
      </c>
    </row>
    <row r="25" spans="1:5" ht="15" customHeight="1">
      <c r="A25" s="48">
        <v>46166</v>
      </c>
      <c r="B25" s="49" t="str">
        <f t="shared" si="0"/>
        <v>الأسبوع الرابع</v>
      </c>
      <c r="C25" s="49" t="s">
        <v>101</v>
      </c>
      <c r="D25" s="49" t="s">
        <v>83</v>
      </c>
      <c r="E25" s="49">
        <v>22</v>
      </c>
    </row>
    <row r="26" spans="1:5" ht="15" customHeight="1">
      <c r="A26" s="46">
        <v>46167</v>
      </c>
      <c r="B26" s="47" t="str">
        <f t="shared" si="0"/>
        <v>الأسبوع الرابع</v>
      </c>
      <c r="C26" s="47" t="s">
        <v>102</v>
      </c>
      <c r="D26" s="47" t="s">
        <v>81</v>
      </c>
      <c r="E26" s="47">
        <v>19</v>
      </c>
    </row>
    <row r="27" spans="1:5" ht="15" customHeight="1">
      <c r="A27" s="48">
        <v>46168</v>
      </c>
      <c r="B27" s="49" t="str">
        <f t="shared" si="0"/>
        <v>الأسبوع الرابع</v>
      </c>
      <c r="C27" s="49" t="s">
        <v>32</v>
      </c>
      <c r="D27" s="49" t="s">
        <v>80</v>
      </c>
      <c r="E27" s="49">
        <v>17</v>
      </c>
    </row>
    <row r="28" spans="1:5" ht="15" customHeight="1">
      <c r="A28" s="46">
        <v>46169</v>
      </c>
      <c r="B28" s="47" t="str">
        <f t="shared" si="0"/>
        <v>الأسبوع الرابع</v>
      </c>
      <c r="C28" s="47" t="s">
        <v>101</v>
      </c>
      <c r="D28" s="47" t="s">
        <v>82</v>
      </c>
      <c r="E28" s="47">
        <v>21</v>
      </c>
    </row>
    <row r="29" spans="1:5" ht="15" customHeight="1">
      <c r="A29" s="48">
        <v>46170</v>
      </c>
      <c r="B29" s="49" t="str">
        <f t="shared" si="0"/>
        <v>الأسبوع الرابع</v>
      </c>
      <c r="C29" s="49" t="s">
        <v>102</v>
      </c>
      <c r="D29" s="49" t="s">
        <v>83</v>
      </c>
      <c r="E29" s="49">
        <v>20</v>
      </c>
    </row>
    <row r="30" spans="1:5" ht="15" customHeight="1">
      <c r="A30" s="46">
        <v>46171</v>
      </c>
      <c r="B30" s="47" t="str">
        <f t="shared" si="0"/>
        <v>الأسبوع الخامس</v>
      </c>
      <c r="C30" s="47" t="s">
        <v>101</v>
      </c>
      <c r="D30" s="47" t="s">
        <v>81</v>
      </c>
      <c r="E30" s="47">
        <v>24</v>
      </c>
    </row>
    <row r="31" spans="1:5" ht="15" customHeight="1">
      <c r="A31" s="48">
        <v>46172</v>
      </c>
      <c r="B31" s="49" t="str">
        <f t="shared" si="0"/>
        <v>الأسبوع الخامس</v>
      </c>
      <c r="C31" s="49" t="s">
        <v>32</v>
      </c>
      <c r="D31" s="49" t="s">
        <v>80</v>
      </c>
      <c r="E31" s="49">
        <v>16</v>
      </c>
    </row>
    <row r="32" spans="1:5" ht="15" customHeight="1">
      <c r="A32" s="46">
        <v>46173</v>
      </c>
      <c r="B32" s="47" t="str">
        <f t="shared" si="0"/>
        <v>الأسبوع الخامس</v>
      </c>
      <c r="C32" s="47" t="s">
        <v>101</v>
      </c>
      <c r="D32" s="47" t="s">
        <v>80</v>
      </c>
      <c r="E32" s="47">
        <v>20</v>
      </c>
    </row>
    <row r="33" spans="1:5" ht="15" customHeight="1">
      <c r="A33" s="49"/>
      <c r="B33" s="49"/>
      <c r="C33" s="49"/>
      <c r="D33" s="49"/>
      <c r="E33" s="49"/>
    </row>
    <row r="34" spans="1:5" ht="15" customHeight="1">
      <c r="A34" s="47"/>
      <c r="B34" s="47"/>
      <c r="C34" s="47"/>
      <c r="D34" s="47"/>
      <c r="E34" s="47"/>
    </row>
    <row r="35" spans="1:5" ht="15" customHeight="1">
      <c r="A35" s="49"/>
      <c r="B35" s="49"/>
      <c r="C35" s="49"/>
      <c r="D35" s="49"/>
      <c r="E35" s="49"/>
    </row>
    <row r="36" spans="1:5" ht="15" customHeight="1">
      <c r="A36" s="47"/>
      <c r="B36" s="47"/>
      <c r="C36" s="47"/>
      <c r="D36" s="47"/>
      <c r="E36" s="47"/>
    </row>
    <row r="37" spans="1:5" ht="15" customHeight="1">
      <c r="A37" s="49"/>
      <c r="B37" s="49"/>
      <c r="C37" s="49"/>
      <c r="D37" s="49"/>
      <c r="E37" s="49"/>
    </row>
    <row r="38" spans="1:5" ht="15" customHeight="1">
      <c r="A38" s="47"/>
      <c r="B38" s="47"/>
      <c r="C38" s="47"/>
      <c r="D38" s="47"/>
      <c r="E38" s="47"/>
    </row>
    <row r="39" spans="1:5" ht="15" customHeight="1">
      <c r="A39" s="49"/>
      <c r="B39" s="49"/>
      <c r="C39" s="49"/>
      <c r="D39" s="49"/>
      <c r="E39" s="49"/>
    </row>
    <row r="40" spans="1:5" ht="15" customHeight="1">
      <c r="A40" s="47"/>
      <c r="B40" s="47"/>
      <c r="C40" s="47"/>
      <c r="D40" s="47"/>
      <c r="E40" s="47"/>
    </row>
    <row r="41" spans="1:5" ht="15" customHeight="1">
      <c r="A41" s="49"/>
      <c r="B41" s="49"/>
      <c r="C41" s="49"/>
      <c r="D41" s="49"/>
      <c r="E41" s="4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2E8F0"/>
  </sheetPr>
  <dimension ref="A1:D37"/>
  <sheetViews>
    <sheetView rightToLeft="1" zoomScaleNormal="100" workbookViewId="0"/>
  </sheetViews>
  <sheetFormatPr defaultColWidth="8.6640625" defaultRowHeight="14.4"/>
  <cols>
    <col min="1" max="1" width="23" customWidth="1"/>
    <col min="2" max="3" width="30" customWidth="1"/>
    <col min="4" max="4" width="17" customWidth="1"/>
  </cols>
  <sheetData>
    <row r="1" spans="1:4" ht="21.75" customHeight="1">
      <c r="A1" s="45" t="s">
        <v>64</v>
      </c>
      <c r="B1" s="45" t="s">
        <v>286</v>
      </c>
      <c r="C1" s="45" t="s">
        <v>287</v>
      </c>
      <c r="D1" s="45" t="s">
        <v>288</v>
      </c>
    </row>
    <row r="2" spans="1:4" ht="15" customHeight="1">
      <c r="A2" s="46">
        <v>46143</v>
      </c>
      <c r="B2" s="47" t="str">
        <f t="shared" ref="B2:B32" si="0">IF(A2="","",CHOOSE(MIN(5,ROUNDUP(DAY(A2)/7,0)),"الأسبوع الأول","الأسبوع الثاني","الأسبوع الثالث","الأسبوع الرابع","الأسبوع الخامس"))</f>
        <v>الأسبوع الأول</v>
      </c>
      <c r="C2" s="47" t="s">
        <v>86</v>
      </c>
      <c r="D2" s="47">
        <v>20</v>
      </c>
    </row>
    <row r="3" spans="1:4" ht="15" customHeight="1">
      <c r="A3" s="48">
        <v>46144</v>
      </c>
      <c r="B3" s="49" t="str">
        <f t="shared" si="0"/>
        <v>الأسبوع الأول</v>
      </c>
      <c r="C3" s="49" t="s">
        <v>88</v>
      </c>
      <c r="D3" s="49">
        <v>18</v>
      </c>
    </row>
    <row r="4" spans="1:4" ht="15" customHeight="1">
      <c r="A4" s="46">
        <v>46145</v>
      </c>
      <c r="B4" s="47" t="str">
        <f t="shared" si="0"/>
        <v>الأسبوع الأول</v>
      </c>
      <c r="C4" s="47" t="s">
        <v>87</v>
      </c>
      <c r="D4" s="47">
        <v>15</v>
      </c>
    </row>
    <row r="5" spans="1:4" ht="15" customHeight="1">
      <c r="A5" s="48">
        <v>46146</v>
      </c>
      <c r="B5" s="49" t="str">
        <f t="shared" si="0"/>
        <v>الأسبوع الأول</v>
      </c>
      <c r="C5" s="49" t="s">
        <v>86</v>
      </c>
      <c r="D5" s="49">
        <v>22</v>
      </c>
    </row>
    <row r="6" spans="1:4" ht="15" customHeight="1">
      <c r="A6" s="46">
        <v>46147</v>
      </c>
      <c r="B6" s="47" t="str">
        <f t="shared" si="0"/>
        <v>الأسبوع الأول</v>
      </c>
      <c r="C6" s="47" t="s">
        <v>88</v>
      </c>
      <c r="D6" s="47">
        <v>19</v>
      </c>
    </row>
    <row r="7" spans="1:4" ht="15" customHeight="1">
      <c r="A7" s="48">
        <v>46148</v>
      </c>
      <c r="B7" s="49" t="str">
        <f t="shared" si="0"/>
        <v>الأسبوع الأول</v>
      </c>
      <c r="C7" s="49" t="s">
        <v>87</v>
      </c>
      <c r="D7" s="49">
        <v>17</v>
      </c>
    </row>
    <row r="8" spans="1:4" ht="15" customHeight="1">
      <c r="A8" s="46">
        <v>46149</v>
      </c>
      <c r="B8" s="47" t="str">
        <f t="shared" si="0"/>
        <v>الأسبوع الأول</v>
      </c>
      <c r="C8" s="47" t="s">
        <v>86</v>
      </c>
      <c r="D8" s="47">
        <v>21</v>
      </c>
    </row>
    <row r="9" spans="1:4" ht="15" customHeight="1">
      <c r="A9" s="48">
        <v>46150</v>
      </c>
      <c r="B9" s="49" t="str">
        <f t="shared" si="0"/>
        <v>الأسبوع الثاني</v>
      </c>
      <c r="C9" s="49" t="s">
        <v>88</v>
      </c>
      <c r="D9" s="49">
        <v>20</v>
      </c>
    </row>
    <row r="10" spans="1:4" ht="15" customHeight="1">
      <c r="A10" s="46">
        <v>46151</v>
      </c>
      <c r="B10" s="47" t="str">
        <f t="shared" si="0"/>
        <v>الأسبوع الثاني</v>
      </c>
      <c r="C10" s="47" t="s">
        <v>87</v>
      </c>
      <c r="D10" s="47">
        <v>24</v>
      </c>
    </row>
    <row r="11" spans="1:4" ht="15" customHeight="1">
      <c r="A11" s="48">
        <v>46152</v>
      </c>
      <c r="B11" s="49" t="str">
        <f t="shared" si="0"/>
        <v>الأسبوع الثاني</v>
      </c>
      <c r="C11" s="49" t="s">
        <v>86</v>
      </c>
      <c r="D11" s="49">
        <v>20</v>
      </c>
    </row>
    <row r="12" spans="1:4" ht="15" customHeight="1">
      <c r="A12" s="46">
        <v>46153</v>
      </c>
      <c r="B12" s="47" t="str">
        <f t="shared" si="0"/>
        <v>الأسبوع الثاني</v>
      </c>
      <c r="C12" s="47" t="s">
        <v>88</v>
      </c>
      <c r="D12" s="47">
        <v>18</v>
      </c>
    </row>
    <row r="13" spans="1:4" ht="15" customHeight="1">
      <c r="A13" s="48">
        <v>46154</v>
      </c>
      <c r="B13" s="49" t="str">
        <f t="shared" si="0"/>
        <v>الأسبوع الثاني</v>
      </c>
      <c r="C13" s="49" t="s">
        <v>87</v>
      </c>
      <c r="D13" s="49">
        <v>15</v>
      </c>
    </row>
    <row r="14" spans="1:4" ht="15" customHeight="1">
      <c r="A14" s="46">
        <v>46155</v>
      </c>
      <c r="B14" s="47" t="str">
        <f t="shared" si="0"/>
        <v>الأسبوع الثاني</v>
      </c>
      <c r="C14" s="47" t="s">
        <v>86</v>
      </c>
      <c r="D14" s="47">
        <v>22</v>
      </c>
    </row>
    <row r="15" spans="1:4" ht="15" customHeight="1">
      <c r="A15" s="48">
        <v>46156</v>
      </c>
      <c r="B15" s="49" t="str">
        <f t="shared" si="0"/>
        <v>الأسبوع الثاني</v>
      </c>
      <c r="C15" s="49" t="s">
        <v>88</v>
      </c>
      <c r="D15" s="49">
        <v>19</v>
      </c>
    </row>
    <row r="16" spans="1:4" ht="15" customHeight="1">
      <c r="A16" s="46">
        <v>46157</v>
      </c>
      <c r="B16" s="47" t="str">
        <f t="shared" si="0"/>
        <v>الأسبوع الثالث</v>
      </c>
      <c r="C16" s="47" t="s">
        <v>87</v>
      </c>
      <c r="D16" s="47">
        <v>17</v>
      </c>
    </row>
    <row r="17" spans="1:4" ht="15" customHeight="1">
      <c r="A17" s="48">
        <v>46158</v>
      </c>
      <c r="B17" s="49" t="str">
        <f t="shared" si="0"/>
        <v>الأسبوع الثالث</v>
      </c>
      <c r="C17" s="49" t="s">
        <v>86</v>
      </c>
      <c r="D17" s="49">
        <v>21</v>
      </c>
    </row>
    <row r="18" spans="1:4" ht="15" customHeight="1">
      <c r="A18" s="46">
        <v>46159</v>
      </c>
      <c r="B18" s="47" t="str">
        <f t="shared" si="0"/>
        <v>الأسبوع الثالث</v>
      </c>
      <c r="C18" s="47" t="s">
        <v>88</v>
      </c>
      <c r="D18" s="47">
        <v>20</v>
      </c>
    </row>
    <row r="19" spans="1:4" ht="15" customHeight="1">
      <c r="A19" s="48">
        <v>46160</v>
      </c>
      <c r="B19" s="49" t="str">
        <f t="shared" si="0"/>
        <v>الأسبوع الثالث</v>
      </c>
      <c r="C19" s="49" t="s">
        <v>87</v>
      </c>
      <c r="D19" s="49">
        <v>24</v>
      </c>
    </row>
    <row r="20" spans="1:4" ht="15" customHeight="1">
      <c r="A20" s="46">
        <v>46161</v>
      </c>
      <c r="B20" s="47" t="str">
        <f t="shared" si="0"/>
        <v>الأسبوع الثالث</v>
      </c>
      <c r="C20" s="47" t="s">
        <v>86</v>
      </c>
      <c r="D20" s="47">
        <v>20</v>
      </c>
    </row>
    <row r="21" spans="1:4" ht="15" customHeight="1">
      <c r="A21" s="48">
        <v>46162</v>
      </c>
      <c r="B21" s="49" t="str">
        <f t="shared" si="0"/>
        <v>الأسبوع الثالث</v>
      </c>
      <c r="C21" s="49" t="s">
        <v>88</v>
      </c>
      <c r="D21" s="49">
        <v>18</v>
      </c>
    </row>
    <row r="22" spans="1:4" ht="15" customHeight="1">
      <c r="A22" s="46">
        <v>46163</v>
      </c>
      <c r="B22" s="47" t="str">
        <f t="shared" si="0"/>
        <v>الأسبوع الثالث</v>
      </c>
      <c r="C22" s="47" t="s">
        <v>87</v>
      </c>
      <c r="D22" s="47">
        <v>15</v>
      </c>
    </row>
    <row r="23" spans="1:4" ht="15" customHeight="1">
      <c r="A23" s="48">
        <v>46164</v>
      </c>
      <c r="B23" s="49" t="str">
        <f t="shared" si="0"/>
        <v>الأسبوع الرابع</v>
      </c>
      <c r="C23" s="49" t="s">
        <v>86</v>
      </c>
      <c r="D23" s="49">
        <v>22</v>
      </c>
    </row>
    <row r="24" spans="1:4" ht="15" customHeight="1">
      <c r="A24" s="46">
        <v>46165</v>
      </c>
      <c r="B24" s="47" t="str">
        <f t="shared" si="0"/>
        <v>الأسبوع الرابع</v>
      </c>
      <c r="C24" s="47" t="s">
        <v>88</v>
      </c>
      <c r="D24" s="47">
        <v>19</v>
      </c>
    </row>
    <row r="25" spans="1:4" ht="15" customHeight="1">
      <c r="A25" s="48">
        <v>46166</v>
      </c>
      <c r="B25" s="49" t="str">
        <f t="shared" si="0"/>
        <v>الأسبوع الرابع</v>
      </c>
      <c r="C25" s="49" t="s">
        <v>87</v>
      </c>
      <c r="D25" s="49">
        <v>17</v>
      </c>
    </row>
    <row r="26" spans="1:4" ht="15" customHeight="1">
      <c r="A26" s="46">
        <v>46167</v>
      </c>
      <c r="B26" s="47" t="str">
        <f t="shared" si="0"/>
        <v>الأسبوع الرابع</v>
      </c>
      <c r="C26" s="47" t="s">
        <v>86</v>
      </c>
      <c r="D26" s="47">
        <v>21</v>
      </c>
    </row>
    <row r="27" spans="1:4" ht="15" customHeight="1">
      <c r="A27" s="48">
        <v>46168</v>
      </c>
      <c r="B27" s="49" t="str">
        <f t="shared" si="0"/>
        <v>الأسبوع الرابع</v>
      </c>
      <c r="C27" s="49" t="s">
        <v>88</v>
      </c>
      <c r="D27" s="49">
        <v>20</v>
      </c>
    </row>
    <row r="28" spans="1:4" ht="15" customHeight="1">
      <c r="A28" s="46">
        <v>46169</v>
      </c>
      <c r="B28" s="47" t="str">
        <f t="shared" si="0"/>
        <v>الأسبوع الرابع</v>
      </c>
      <c r="C28" s="47" t="s">
        <v>87</v>
      </c>
      <c r="D28" s="47">
        <v>24</v>
      </c>
    </row>
    <row r="29" spans="1:4" ht="15" customHeight="1">
      <c r="A29" s="48">
        <v>46170</v>
      </c>
      <c r="B29" s="49" t="str">
        <f t="shared" si="0"/>
        <v>الأسبوع الرابع</v>
      </c>
      <c r="C29" s="49" t="s">
        <v>86</v>
      </c>
      <c r="D29" s="49">
        <v>20</v>
      </c>
    </row>
    <row r="30" spans="1:4" ht="15" customHeight="1">
      <c r="A30" s="46">
        <v>46171</v>
      </c>
      <c r="B30" s="47" t="str">
        <f t="shared" si="0"/>
        <v>الأسبوع الخامس</v>
      </c>
      <c r="C30" s="47" t="s">
        <v>88</v>
      </c>
      <c r="D30" s="47">
        <v>18</v>
      </c>
    </row>
    <row r="31" spans="1:4" ht="15" customHeight="1">
      <c r="A31" s="48">
        <v>46172</v>
      </c>
      <c r="B31" s="49" t="str">
        <f t="shared" si="0"/>
        <v>الأسبوع الخامس</v>
      </c>
      <c r="C31" s="49" t="s">
        <v>87</v>
      </c>
      <c r="D31" s="49">
        <v>15</v>
      </c>
    </row>
    <row r="32" spans="1:4" ht="15" customHeight="1">
      <c r="A32" s="46">
        <v>46173</v>
      </c>
      <c r="B32" s="47" t="str">
        <f t="shared" si="0"/>
        <v>الأسبوع الخامس</v>
      </c>
      <c r="C32" s="47" t="s">
        <v>86</v>
      </c>
      <c r="D32" s="47">
        <v>22</v>
      </c>
    </row>
    <row r="33" spans="1:4" ht="15" customHeight="1">
      <c r="A33" s="49"/>
      <c r="B33" s="49"/>
      <c r="C33" s="49"/>
      <c r="D33" s="49"/>
    </row>
    <row r="34" spans="1:4" ht="15" customHeight="1">
      <c r="A34" s="47"/>
      <c r="B34" s="47"/>
      <c r="C34" s="47"/>
      <c r="D34" s="47"/>
    </row>
    <row r="35" spans="1:4" ht="15" customHeight="1">
      <c r="A35" s="49"/>
      <c r="B35" s="49"/>
      <c r="C35" s="49"/>
      <c r="D35" s="49"/>
    </row>
    <row r="36" spans="1:4" ht="15" customHeight="1">
      <c r="A36" s="47"/>
      <c r="B36" s="47"/>
      <c r="C36" s="47"/>
      <c r="D36" s="47"/>
    </row>
    <row r="37" spans="1:4" ht="15" customHeight="1">
      <c r="A37" s="49"/>
      <c r="B37" s="49"/>
      <c r="C37" s="49"/>
      <c r="D37" s="4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2E8F0"/>
  </sheetPr>
  <dimension ref="A1:D37"/>
  <sheetViews>
    <sheetView rightToLeft="1" zoomScaleNormal="100" workbookViewId="0"/>
  </sheetViews>
  <sheetFormatPr defaultColWidth="8.6640625" defaultRowHeight="14.4"/>
  <cols>
    <col min="1" max="1" width="23" customWidth="1"/>
    <col min="2" max="2" width="30" customWidth="1"/>
    <col min="3" max="3" width="16" customWidth="1"/>
    <col min="4" max="4" width="20" customWidth="1"/>
  </cols>
  <sheetData>
    <row r="1" spans="1:4" ht="21.75" customHeight="1">
      <c r="A1" s="45" t="s">
        <v>64</v>
      </c>
      <c r="B1" s="45" t="s">
        <v>104</v>
      </c>
      <c r="C1" s="45" t="s">
        <v>289</v>
      </c>
      <c r="D1" s="45" t="s">
        <v>164</v>
      </c>
    </row>
    <row r="2" spans="1:4" ht="15" customHeight="1">
      <c r="A2" s="46">
        <v>46143</v>
      </c>
      <c r="B2" s="47" t="str">
        <f t="shared" ref="B2:B32" si="0">IF(A2="","",CHOOSE(MIN(5,ROUNDUP(DAY(A2)/7,0)),"الأسبوع الأول","الأسبوع الثاني","الأسبوع الثالث","الأسبوع الرابع","الأسبوع الخامس"))</f>
        <v>الأسبوع الأول</v>
      </c>
      <c r="C2" s="47">
        <v>0</v>
      </c>
      <c r="D2" s="47" t="s">
        <v>101</v>
      </c>
    </row>
    <row r="3" spans="1:4" ht="15" customHeight="1">
      <c r="A3" s="48">
        <v>46144</v>
      </c>
      <c r="B3" s="49" t="str">
        <f t="shared" si="0"/>
        <v>الأسبوع الأول</v>
      </c>
      <c r="C3" s="49">
        <v>1</v>
      </c>
      <c r="D3" s="49" t="s">
        <v>102</v>
      </c>
    </row>
    <row r="4" spans="1:4" ht="15" customHeight="1">
      <c r="A4" s="46">
        <v>46145</v>
      </c>
      <c r="B4" s="47" t="str">
        <f t="shared" si="0"/>
        <v>الأسبوع الأول</v>
      </c>
      <c r="C4" s="47">
        <v>0</v>
      </c>
      <c r="D4" s="47" t="s">
        <v>191</v>
      </c>
    </row>
    <row r="5" spans="1:4" ht="15" customHeight="1">
      <c r="A5" s="48">
        <v>46146</v>
      </c>
      <c r="B5" s="49" t="str">
        <f t="shared" si="0"/>
        <v>الأسبوع الأول</v>
      </c>
      <c r="C5" s="49">
        <v>1</v>
      </c>
      <c r="D5" s="49" t="s">
        <v>101</v>
      </c>
    </row>
    <row r="6" spans="1:4" ht="15" customHeight="1">
      <c r="A6" s="46">
        <v>46147</v>
      </c>
      <c r="B6" s="47" t="str">
        <f t="shared" si="0"/>
        <v>الأسبوع الأول</v>
      </c>
      <c r="C6" s="47">
        <v>0</v>
      </c>
      <c r="D6" s="47" t="s">
        <v>102</v>
      </c>
    </row>
    <row r="7" spans="1:4" ht="15" customHeight="1">
      <c r="A7" s="48">
        <v>46148</v>
      </c>
      <c r="B7" s="49" t="str">
        <f t="shared" si="0"/>
        <v>الأسبوع الأول</v>
      </c>
      <c r="C7" s="49">
        <v>1</v>
      </c>
      <c r="D7" s="49" t="s">
        <v>191</v>
      </c>
    </row>
    <row r="8" spans="1:4" ht="15" customHeight="1">
      <c r="A8" s="46">
        <v>46149</v>
      </c>
      <c r="B8" s="47" t="str">
        <f t="shared" si="0"/>
        <v>الأسبوع الأول</v>
      </c>
      <c r="C8" s="47">
        <v>1</v>
      </c>
      <c r="D8" s="47" t="s">
        <v>101</v>
      </c>
    </row>
    <row r="9" spans="1:4" ht="15" customHeight="1">
      <c r="A9" s="48">
        <v>46150</v>
      </c>
      <c r="B9" s="49" t="str">
        <f t="shared" si="0"/>
        <v>الأسبوع الثاني</v>
      </c>
      <c r="C9" s="49">
        <v>1</v>
      </c>
      <c r="D9" s="49" t="s">
        <v>102</v>
      </c>
    </row>
    <row r="10" spans="1:4" ht="15" customHeight="1">
      <c r="A10" s="46">
        <v>46151</v>
      </c>
      <c r="B10" s="47" t="str">
        <f t="shared" si="0"/>
        <v>الأسبوع الثاني</v>
      </c>
      <c r="C10" s="47">
        <v>1</v>
      </c>
      <c r="D10" s="47" t="s">
        <v>191</v>
      </c>
    </row>
    <row r="11" spans="1:4" ht="15" customHeight="1">
      <c r="A11" s="48">
        <v>46152</v>
      </c>
      <c r="B11" s="49" t="str">
        <f t="shared" si="0"/>
        <v>الأسبوع الثاني</v>
      </c>
      <c r="C11" s="49">
        <v>0</v>
      </c>
      <c r="D11" s="49" t="s">
        <v>101</v>
      </c>
    </row>
    <row r="12" spans="1:4" ht="15" customHeight="1">
      <c r="A12" s="46">
        <v>46153</v>
      </c>
      <c r="B12" s="47" t="str">
        <f t="shared" si="0"/>
        <v>الأسبوع الثاني</v>
      </c>
      <c r="C12" s="47">
        <v>0</v>
      </c>
      <c r="D12" s="47" t="s">
        <v>102</v>
      </c>
    </row>
    <row r="13" spans="1:4" ht="15" customHeight="1">
      <c r="A13" s="48">
        <v>46154</v>
      </c>
      <c r="B13" s="49" t="str">
        <f t="shared" si="0"/>
        <v>الأسبوع الثاني</v>
      </c>
      <c r="C13" s="49">
        <v>1</v>
      </c>
      <c r="D13" s="49" t="s">
        <v>191</v>
      </c>
    </row>
    <row r="14" spans="1:4" ht="15" customHeight="1">
      <c r="A14" s="46">
        <v>46155</v>
      </c>
      <c r="B14" s="47" t="str">
        <f t="shared" si="0"/>
        <v>الأسبوع الثاني</v>
      </c>
      <c r="C14" s="47">
        <v>1</v>
      </c>
      <c r="D14" s="47" t="s">
        <v>101</v>
      </c>
    </row>
    <row r="15" spans="1:4" ht="15" customHeight="1">
      <c r="A15" s="48">
        <v>46156</v>
      </c>
      <c r="B15" s="49" t="str">
        <f t="shared" si="0"/>
        <v>الأسبوع الثاني</v>
      </c>
      <c r="C15" s="49">
        <v>1</v>
      </c>
      <c r="D15" s="49" t="s">
        <v>102</v>
      </c>
    </row>
    <row r="16" spans="1:4" ht="15" customHeight="1">
      <c r="A16" s="46">
        <v>46157</v>
      </c>
      <c r="B16" s="47" t="str">
        <f t="shared" si="0"/>
        <v>الأسبوع الثالث</v>
      </c>
      <c r="C16" s="47">
        <v>1</v>
      </c>
      <c r="D16" s="47" t="s">
        <v>191</v>
      </c>
    </row>
    <row r="17" spans="1:4" ht="15" customHeight="1">
      <c r="A17" s="48">
        <v>46158</v>
      </c>
      <c r="B17" s="49" t="str">
        <f t="shared" si="0"/>
        <v>الأسبوع الثالث</v>
      </c>
      <c r="C17" s="49">
        <v>0</v>
      </c>
      <c r="D17" s="49" t="s">
        <v>101</v>
      </c>
    </row>
    <row r="18" spans="1:4" ht="15" customHeight="1">
      <c r="A18" s="46">
        <v>46159</v>
      </c>
      <c r="B18" s="47" t="str">
        <f t="shared" si="0"/>
        <v>الأسبوع الثالث</v>
      </c>
      <c r="C18" s="47">
        <v>0</v>
      </c>
      <c r="D18" s="47" t="s">
        <v>102</v>
      </c>
    </row>
    <row r="19" spans="1:4" ht="15" customHeight="1">
      <c r="A19" s="48">
        <v>46160</v>
      </c>
      <c r="B19" s="49" t="str">
        <f t="shared" si="0"/>
        <v>الأسبوع الثالث</v>
      </c>
      <c r="C19" s="49">
        <v>0</v>
      </c>
      <c r="D19" s="49" t="s">
        <v>191</v>
      </c>
    </row>
    <row r="20" spans="1:4" ht="15" customHeight="1">
      <c r="A20" s="46">
        <v>46161</v>
      </c>
      <c r="B20" s="47" t="str">
        <f t="shared" si="0"/>
        <v>الأسبوع الثالث</v>
      </c>
      <c r="C20" s="47">
        <v>1</v>
      </c>
      <c r="D20" s="47" t="s">
        <v>101</v>
      </c>
    </row>
    <row r="21" spans="1:4" ht="15" customHeight="1">
      <c r="A21" s="48">
        <v>46162</v>
      </c>
      <c r="B21" s="49" t="str">
        <f t="shared" si="0"/>
        <v>الأسبوع الثالث</v>
      </c>
      <c r="C21" s="49">
        <v>1</v>
      </c>
      <c r="D21" s="49" t="s">
        <v>102</v>
      </c>
    </row>
    <row r="22" spans="1:4" ht="15" customHeight="1">
      <c r="A22" s="46">
        <v>46163</v>
      </c>
      <c r="B22" s="47" t="str">
        <f t="shared" si="0"/>
        <v>الأسبوع الثالث</v>
      </c>
      <c r="C22" s="47">
        <v>0</v>
      </c>
      <c r="D22" s="47" t="s">
        <v>191</v>
      </c>
    </row>
    <row r="23" spans="1:4" ht="15" customHeight="1">
      <c r="A23" s="48">
        <v>46164</v>
      </c>
      <c r="B23" s="49" t="str">
        <f t="shared" si="0"/>
        <v>الأسبوع الرابع</v>
      </c>
      <c r="C23" s="49">
        <v>0</v>
      </c>
      <c r="D23" s="49" t="s">
        <v>101</v>
      </c>
    </row>
    <row r="24" spans="1:4" ht="15" customHeight="1">
      <c r="A24" s="46">
        <v>46165</v>
      </c>
      <c r="B24" s="47" t="str">
        <f t="shared" si="0"/>
        <v>الأسبوع الرابع</v>
      </c>
      <c r="C24" s="47">
        <v>0</v>
      </c>
      <c r="D24" s="47" t="s">
        <v>102</v>
      </c>
    </row>
    <row r="25" spans="1:4" ht="15" customHeight="1">
      <c r="A25" s="48">
        <v>46166</v>
      </c>
      <c r="B25" s="49" t="str">
        <f t="shared" si="0"/>
        <v>الأسبوع الرابع</v>
      </c>
      <c r="C25" s="49">
        <v>1</v>
      </c>
      <c r="D25" s="49" t="s">
        <v>191</v>
      </c>
    </row>
    <row r="26" spans="1:4" ht="15" customHeight="1">
      <c r="A26" s="46">
        <v>46167</v>
      </c>
      <c r="B26" s="47" t="str">
        <f t="shared" si="0"/>
        <v>الأسبوع الرابع</v>
      </c>
      <c r="C26" s="47">
        <v>1</v>
      </c>
      <c r="D26" s="47" t="s">
        <v>101</v>
      </c>
    </row>
    <row r="27" spans="1:4" ht="15" customHeight="1">
      <c r="A27" s="48">
        <v>46168</v>
      </c>
      <c r="B27" s="49" t="str">
        <f t="shared" si="0"/>
        <v>الأسبوع الرابع</v>
      </c>
      <c r="C27" s="49">
        <v>1</v>
      </c>
      <c r="D27" s="49" t="s">
        <v>102</v>
      </c>
    </row>
    <row r="28" spans="1:4" ht="15" customHeight="1">
      <c r="A28" s="46">
        <v>46169</v>
      </c>
      <c r="B28" s="47" t="str">
        <f t="shared" si="0"/>
        <v>الأسبوع الرابع</v>
      </c>
      <c r="C28" s="47">
        <v>1</v>
      </c>
      <c r="D28" s="47" t="s">
        <v>191</v>
      </c>
    </row>
    <row r="29" spans="1:4" ht="15" customHeight="1">
      <c r="A29" s="48">
        <v>46170</v>
      </c>
      <c r="B29" s="49" t="str">
        <f t="shared" si="0"/>
        <v>الأسبوع الرابع</v>
      </c>
      <c r="C29" s="49">
        <v>1</v>
      </c>
      <c r="D29" s="49" t="s">
        <v>101</v>
      </c>
    </row>
    <row r="30" spans="1:4" ht="15" customHeight="1">
      <c r="A30" s="46">
        <v>46171</v>
      </c>
      <c r="B30" s="47" t="str">
        <f t="shared" si="0"/>
        <v>الأسبوع الخامس</v>
      </c>
      <c r="C30" s="47">
        <v>0</v>
      </c>
      <c r="D30" s="47" t="s">
        <v>102</v>
      </c>
    </row>
    <row r="31" spans="1:4" ht="15" customHeight="1">
      <c r="A31" s="48">
        <v>46172</v>
      </c>
      <c r="B31" s="49" t="str">
        <f t="shared" si="0"/>
        <v>الأسبوع الخامس</v>
      </c>
      <c r="C31" s="49">
        <v>1</v>
      </c>
      <c r="D31" s="49" t="s">
        <v>191</v>
      </c>
    </row>
    <row r="32" spans="1:4" ht="15" customHeight="1">
      <c r="A32" s="46">
        <v>46173</v>
      </c>
      <c r="B32" s="47" t="str">
        <f t="shared" si="0"/>
        <v>الأسبوع الخامس</v>
      </c>
      <c r="C32" s="47">
        <v>1</v>
      </c>
      <c r="D32" s="47" t="s">
        <v>101</v>
      </c>
    </row>
    <row r="33" spans="1:4" ht="15" customHeight="1">
      <c r="A33" s="49"/>
      <c r="B33" s="49"/>
      <c r="C33" s="49"/>
      <c r="D33" s="49"/>
    </row>
    <row r="34" spans="1:4" ht="15" customHeight="1">
      <c r="A34" s="47"/>
      <c r="B34" s="47"/>
      <c r="C34" s="47"/>
      <c r="D34" s="47"/>
    </row>
    <row r="35" spans="1:4" ht="15" customHeight="1">
      <c r="A35" s="49"/>
      <c r="B35" s="49"/>
      <c r="C35" s="49"/>
      <c r="D35" s="49"/>
    </row>
    <row r="36" spans="1:4" ht="15" customHeight="1">
      <c r="A36" s="47"/>
      <c r="B36" s="47"/>
      <c r="C36" s="47"/>
      <c r="D36" s="47"/>
    </row>
    <row r="37" spans="1:4" ht="15" customHeight="1">
      <c r="A37" s="49"/>
      <c r="B37" s="49"/>
      <c r="C37" s="49"/>
      <c r="D37" s="4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2E8F0"/>
  </sheetPr>
  <dimension ref="A1:D41"/>
  <sheetViews>
    <sheetView rightToLeft="1" zoomScaleNormal="100" workbookViewId="0"/>
  </sheetViews>
  <sheetFormatPr defaultColWidth="8.6640625" defaultRowHeight="14.4"/>
  <cols>
    <col min="1" max="1" width="23" customWidth="1"/>
    <col min="2" max="2" width="30" customWidth="1"/>
    <col min="3" max="3" width="17" customWidth="1"/>
    <col min="4" max="4" width="26" customWidth="1"/>
  </cols>
  <sheetData>
    <row r="1" spans="1:4" ht="21.75" customHeight="1">
      <c r="A1" s="45" t="s">
        <v>64</v>
      </c>
      <c r="B1" s="45" t="s">
        <v>286</v>
      </c>
      <c r="C1" s="45" t="s">
        <v>164</v>
      </c>
      <c r="D1" s="45" t="s">
        <v>199</v>
      </c>
    </row>
    <row r="2" spans="1:4" ht="15" customHeight="1">
      <c r="A2" s="46">
        <v>46143</v>
      </c>
      <c r="B2" s="47" t="str">
        <f t="shared" ref="B2:B32" si="0">IF(A2="","",CHOOSE(MIN(5,ROUNDUP(DAY(A2)/7,0)),"الأسبوع الأول","الأسبوع الثاني","الأسبوع الثالث","الأسبوع الرابع","الأسبوع الخامس"))</f>
        <v>الأسبوع الأول</v>
      </c>
      <c r="C2" s="47" t="s">
        <v>101</v>
      </c>
      <c r="D2" s="47" t="s">
        <v>201</v>
      </c>
    </row>
    <row r="3" spans="1:4" ht="15" customHeight="1">
      <c r="A3" s="48">
        <v>46144</v>
      </c>
      <c r="B3" s="49" t="str">
        <f t="shared" si="0"/>
        <v>الأسبوع الأول</v>
      </c>
      <c r="C3" s="49" t="s">
        <v>102</v>
      </c>
      <c r="D3" s="49" t="s">
        <v>203</v>
      </c>
    </row>
    <row r="4" spans="1:4" ht="15" customHeight="1">
      <c r="A4" s="46">
        <v>46145</v>
      </c>
      <c r="B4" s="47" t="str">
        <f t="shared" si="0"/>
        <v>الأسبوع الأول</v>
      </c>
      <c r="C4" s="47" t="s">
        <v>32</v>
      </c>
      <c r="D4" s="47" t="s">
        <v>205</v>
      </c>
    </row>
    <row r="5" spans="1:4" ht="15" customHeight="1">
      <c r="A5" s="48">
        <v>46146</v>
      </c>
      <c r="B5" s="49" t="str">
        <f t="shared" si="0"/>
        <v>الأسبوع الأول</v>
      </c>
      <c r="C5" s="49" t="s">
        <v>101</v>
      </c>
      <c r="D5" s="49" t="s">
        <v>206</v>
      </c>
    </row>
    <row r="6" spans="1:4" ht="15" customHeight="1">
      <c r="A6" s="46">
        <v>46147</v>
      </c>
      <c r="B6" s="47" t="str">
        <f t="shared" si="0"/>
        <v>الأسبوع الأول</v>
      </c>
      <c r="C6" s="47" t="s">
        <v>102</v>
      </c>
      <c r="D6" s="47" t="s">
        <v>207</v>
      </c>
    </row>
    <row r="7" spans="1:4" ht="15" customHeight="1">
      <c r="A7" s="48">
        <v>46148</v>
      </c>
      <c r="B7" s="49" t="str">
        <f t="shared" si="0"/>
        <v>الأسبوع الأول</v>
      </c>
      <c r="C7" s="49" t="s">
        <v>32</v>
      </c>
      <c r="D7" s="49" t="s">
        <v>208</v>
      </c>
    </row>
    <row r="8" spans="1:4" ht="15" customHeight="1">
      <c r="A8" s="46">
        <v>46149</v>
      </c>
      <c r="B8" s="47" t="str">
        <f t="shared" si="0"/>
        <v>الأسبوع الأول</v>
      </c>
      <c r="C8" s="47" t="s">
        <v>101</v>
      </c>
      <c r="D8" s="47" t="s">
        <v>209</v>
      </c>
    </row>
    <row r="9" spans="1:4" ht="15" customHeight="1">
      <c r="A9" s="48">
        <v>46150</v>
      </c>
      <c r="B9" s="49" t="str">
        <f t="shared" si="0"/>
        <v>الأسبوع الثاني</v>
      </c>
      <c r="C9" s="49" t="s">
        <v>102</v>
      </c>
      <c r="D9" s="49" t="s">
        <v>210</v>
      </c>
    </row>
    <row r="10" spans="1:4" ht="15" customHeight="1">
      <c r="A10" s="46">
        <v>46151</v>
      </c>
      <c r="B10" s="47" t="str">
        <f t="shared" si="0"/>
        <v>الأسبوع الثاني</v>
      </c>
      <c r="C10" s="47" t="s">
        <v>32</v>
      </c>
      <c r="D10" s="47" t="s">
        <v>211</v>
      </c>
    </row>
    <row r="11" spans="1:4" ht="15" customHeight="1">
      <c r="A11" s="48">
        <v>46152</v>
      </c>
      <c r="B11" s="49" t="str">
        <f t="shared" si="0"/>
        <v>الأسبوع الثاني</v>
      </c>
      <c r="C11" s="49" t="s">
        <v>101</v>
      </c>
      <c r="D11" s="49" t="s">
        <v>212</v>
      </c>
    </row>
    <row r="12" spans="1:4" ht="15" customHeight="1">
      <c r="A12" s="46">
        <v>46153</v>
      </c>
      <c r="B12" s="47" t="str">
        <f t="shared" si="0"/>
        <v>الأسبوع الثاني</v>
      </c>
      <c r="C12" s="47" t="s">
        <v>101</v>
      </c>
      <c r="D12" s="47" t="s">
        <v>201</v>
      </c>
    </row>
    <row r="13" spans="1:4" ht="15" customHeight="1">
      <c r="A13" s="48">
        <v>46154</v>
      </c>
      <c r="B13" s="49" t="str">
        <f t="shared" si="0"/>
        <v>الأسبوع الثاني</v>
      </c>
      <c r="C13" s="49" t="s">
        <v>102</v>
      </c>
      <c r="D13" s="49" t="s">
        <v>203</v>
      </c>
    </row>
    <row r="14" spans="1:4" ht="15" customHeight="1">
      <c r="A14" s="46">
        <v>46155</v>
      </c>
      <c r="B14" s="47" t="str">
        <f t="shared" si="0"/>
        <v>الأسبوع الثاني</v>
      </c>
      <c r="C14" s="47" t="s">
        <v>32</v>
      </c>
      <c r="D14" s="47" t="s">
        <v>205</v>
      </c>
    </row>
    <row r="15" spans="1:4" ht="15" customHeight="1">
      <c r="A15" s="48">
        <v>46156</v>
      </c>
      <c r="B15" s="49" t="str">
        <f t="shared" si="0"/>
        <v>الأسبوع الثاني</v>
      </c>
      <c r="C15" s="49" t="s">
        <v>101</v>
      </c>
      <c r="D15" s="49" t="s">
        <v>206</v>
      </c>
    </row>
    <row r="16" spans="1:4" ht="15" customHeight="1">
      <c r="A16" s="46">
        <v>46157</v>
      </c>
      <c r="B16" s="47" t="str">
        <f t="shared" si="0"/>
        <v>الأسبوع الثالث</v>
      </c>
      <c r="C16" s="47" t="s">
        <v>102</v>
      </c>
      <c r="D16" s="47" t="s">
        <v>207</v>
      </c>
    </row>
    <row r="17" spans="1:4" ht="15" customHeight="1">
      <c r="A17" s="48">
        <v>46158</v>
      </c>
      <c r="B17" s="49" t="str">
        <f t="shared" si="0"/>
        <v>الأسبوع الثالث</v>
      </c>
      <c r="C17" s="49" t="s">
        <v>32</v>
      </c>
      <c r="D17" s="49" t="s">
        <v>208</v>
      </c>
    </row>
    <row r="18" spans="1:4" ht="15" customHeight="1">
      <c r="A18" s="46">
        <v>46159</v>
      </c>
      <c r="B18" s="47" t="str">
        <f t="shared" si="0"/>
        <v>الأسبوع الثالث</v>
      </c>
      <c r="C18" s="47" t="s">
        <v>101</v>
      </c>
      <c r="D18" s="47" t="s">
        <v>209</v>
      </c>
    </row>
    <row r="19" spans="1:4" ht="15" customHeight="1">
      <c r="A19" s="48">
        <v>46160</v>
      </c>
      <c r="B19" s="49" t="str">
        <f t="shared" si="0"/>
        <v>الأسبوع الثالث</v>
      </c>
      <c r="C19" s="49" t="s">
        <v>102</v>
      </c>
      <c r="D19" s="49" t="s">
        <v>210</v>
      </c>
    </row>
    <row r="20" spans="1:4" ht="15" customHeight="1">
      <c r="A20" s="46">
        <v>46161</v>
      </c>
      <c r="B20" s="47" t="str">
        <f t="shared" si="0"/>
        <v>الأسبوع الثالث</v>
      </c>
      <c r="C20" s="47" t="s">
        <v>32</v>
      </c>
      <c r="D20" s="47" t="s">
        <v>211</v>
      </c>
    </row>
    <row r="21" spans="1:4" ht="15" customHeight="1">
      <c r="A21" s="48">
        <v>46162</v>
      </c>
      <c r="B21" s="49" t="str">
        <f t="shared" si="0"/>
        <v>الأسبوع الثالث</v>
      </c>
      <c r="C21" s="49" t="s">
        <v>101</v>
      </c>
      <c r="D21" s="49" t="s">
        <v>212</v>
      </c>
    </row>
    <row r="22" spans="1:4" ht="15" customHeight="1">
      <c r="A22" s="46">
        <v>46163</v>
      </c>
      <c r="B22" s="47" t="str">
        <f t="shared" si="0"/>
        <v>الأسبوع الثالث</v>
      </c>
      <c r="C22" s="47" t="s">
        <v>101</v>
      </c>
      <c r="D22" s="47" t="s">
        <v>201</v>
      </c>
    </row>
    <row r="23" spans="1:4" ht="15" customHeight="1">
      <c r="A23" s="48">
        <v>46164</v>
      </c>
      <c r="B23" s="49" t="str">
        <f t="shared" si="0"/>
        <v>الأسبوع الرابع</v>
      </c>
      <c r="C23" s="49" t="s">
        <v>102</v>
      </c>
      <c r="D23" s="49" t="s">
        <v>203</v>
      </c>
    </row>
    <row r="24" spans="1:4" ht="15" customHeight="1">
      <c r="A24" s="46">
        <v>46165</v>
      </c>
      <c r="B24" s="47" t="str">
        <f t="shared" si="0"/>
        <v>الأسبوع الرابع</v>
      </c>
      <c r="C24" s="47" t="s">
        <v>32</v>
      </c>
      <c r="D24" s="47" t="s">
        <v>205</v>
      </c>
    </row>
    <row r="25" spans="1:4" ht="15" customHeight="1">
      <c r="A25" s="48">
        <v>46166</v>
      </c>
      <c r="B25" s="49" t="str">
        <f t="shared" si="0"/>
        <v>الأسبوع الرابع</v>
      </c>
      <c r="C25" s="49" t="s">
        <v>101</v>
      </c>
      <c r="D25" s="49" t="s">
        <v>206</v>
      </c>
    </row>
    <row r="26" spans="1:4" ht="15" customHeight="1">
      <c r="A26" s="46">
        <v>46167</v>
      </c>
      <c r="B26" s="47" t="str">
        <f t="shared" si="0"/>
        <v>الأسبوع الرابع</v>
      </c>
      <c r="C26" s="47" t="s">
        <v>102</v>
      </c>
      <c r="D26" s="47" t="s">
        <v>207</v>
      </c>
    </row>
    <row r="27" spans="1:4" ht="15" customHeight="1">
      <c r="A27" s="48">
        <v>46168</v>
      </c>
      <c r="B27" s="49" t="str">
        <f t="shared" si="0"/>
        <v>الأسبوع الرابع</v>
      </c>
      <c r="C27" s="49" t="s">
        <v>32</v>
      </c>
      <c r="D27" s="49" t="s">
        <v>208</v>
      </c>
    </row>
    <row r="28" spans="1:4" ht="15" customHeight="1">
      <c r="A28" s="46">
        <v>46169</v>
      </c>
      <c r="B28" s="47" t="str">
        <f t="shared" si="0"/>
        <v>الأسبوع الرابع</v>
      </c>
      <c r="C28" s="47" t="s">
        <v>101</v>
      </c>
      <c r="D28" s="47" t="s">
        <v>209</v>
      </c>
    </row>
    <row r="29" spans="1:4" ht="15" customHeight="1">
      <c r="A29" s="48">
        <v>46170</v>
      </c>
      <c r="B29" s="49" t="str">
        <f t="shared" si="0"/>
        <v>الأسبوع الرابع</v>
      </c>
      <c r="C29" s="49" t="s">
        <v>102</v>
      </c>
      <c r="D29" s="49" t="s">
        <v>210</v>
      </c>
    </row>
    <row r="30" spans="1:4" ht="15" customHeight="1">
      <c r="A30" s="46">
        <v>46171</v>
      </c>
      <c r="B30" s="47" t="str">
        <f t="shared" si="0"/>
        <v>الأسبوع الخامس</v>
      </c>
      <c r="C30" s="47" t="s">
        <v>32</v>
      </c>
      <c r="D30" s="47" t="s">
        <v>211</v>
      </c>
    </row>
    <row r="31" spans="1:4" ht="15" customHeight="1">
      <c r="A31" s="48">
        <v>46172</v>
      </c>
      <c r="B31" s="49" t="str">
        <f t="shared" si="0"/>
        <v>الأسبوع الخامس</v>
      </c>
      <c r="C31" s="49" t="s">
        <v>101</v>
      </c>
      <c r="D31" s="49" t="s">
        <v>212</v>
      </c>
    </row>
    <row r="32" spans="1:4" ht="15" customHeight="1">
      <c r="A32" s="46">
        <v>46173</v>
      </c>
      <c r="B32" s="47" t="str">
        <f t="shared" si="0"/>
        <v>الأسبوع الخامس</v>
      </c>
      <c r="C32" s="47" t="s">
        <v>101</v>
      </c>
      <c r="D32" s="47" t="s">
        <v>201</v>
      </c>
    </row>
    <row r="33" spans="1:4" ht="15" customHeight="1">
      <c r="A33" s="49"/>
      <c r="B33" s="49"/>
      <c r="C33" s="49"/>
      <c r="D33" s="49"/>
    </row>
    <row r="34" spans="1:4" ht="15" customHeight="1">
      <c r="A34" s="47"/>
      <c r="B34" s="47"/>
      <c r="C34" s="47"/>
      <c r="D34" s="47"/>
    </row>
    <row r="35" spans="1:4" ht="15" customHeight="1">
      <c r="A35" s="49"/>
      <c r="B35" s="49"/>
      <c r="C35" s="49"/>
      <c r="D35" s="49"/>
    </row>
    <row r="36" spans="1:4" ht="15" customHeight="1">
      <c r="A36" s="47"/>
      <c r="B36" s="47"/>
      <c r="C36" s="47"/>
      <c r="D36" s="47"/>
    </row>
    <row r="37" spans="1:4" ht="15" customHeight="1">
      <c r="A37" s="49"/>
      <c r="B37" s="49"/>
      <c r="C37" s="49"/>
      <c r="D37" s="49"/>
    </row>
    <row r="38" spans="1:4" ht="15" customHeight="1">
      <c r="A38" s="47"/>
      <c r="B38" s="47"/>
      <c r="C38" s="47"/>
      <c r="D38" s="47"/>
    </row>
    <row r="39" spans="1:4" ht="15" customHeight="1">
      <c r="A39" s="49"/>
      <c r="B39" s="49"/>
      <c r="C39" s="49"/>
      <c r="D39" s="49"/>
    </row>
    <row r="40" spans="1:4" ht="15" customHeight="1">
      <c r="A40" s="47"/>
      <c r="B40" s="47"/>
      <c r="C40" s="47"/>
      <c r="D40" s="47"/>
    </row>
    <row r="41" spans="1:4" ht="15" customHeight="1">
      <c r="A41" s="49"/>
      <c r="B41" s="49"/>
      <c r="C41" s="49"/>
      <c r="D41" s="4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E2E8F0"/>
  </sheetPr>
  <dimension ref="A1:G41"/>
  <sheetViews>
    <sheetView rightToLeft="1" zoomScaleNormal="100" workbookViewId="0"/>
  </sheetViews>
  <sheetFormatPr defaultColWidth="8.6640625" defaultRowHeight="14.4"/>
  <cols>
    <col min="1" max="1" width="23" customWidth="1"/>
    <col min="2" max="2" width="30" customWidth="1"/>
    <col min="3" max="3" width="26" customWidth="1"/>
    <col min="4" max="4" width="10" customWidth="1"/>
    <col min="5" max="6" width="9" customWidth="1"/>
    <col min="7" max="7" width="11" customWidth="1"/>
  </cols>
  <sheetData>
    <row r="1" spans="1:7" ht="21.75" customHeight="1">
      <c r="A1" s="45" t="s">
        <v>64</v>
      </c>
      <c r="B1" s="45" t="s">
        <v>286</v>
      </c>
      <c r="C1" s="45" t="s">
        <v>58</v>
      </c>
      <c r="D1" s="45" t="s">
        <v>131</v>
      </c>
      <c r="E1" s="45" t="s">
        <v>132</v>
      </c>
      <c r="F1" s="45" t="s">
        <v>133</v>
      </c>
      <c r="G1" s="45" t="s">
        <v>59</v>
      </c>
    </row>
    <row r="2" spans="1:7" ht="15" customHeight="1">
      <c r="A2" s="46">
        <v>46143</v>
      </c>
      <c r="B2" s="47" t="str">
        <f t="shared" ref="B2:B32" si="0">IF(A2="","",CHOOSE(MIN(5,ROUNDUP(DAY(A2)/7,0)),"الأسبوع الأول","الأسبوع الثاني","الأسبوع الثالث","الأسبوع الرابع","الأسبوع الخامس"))</f>
        <v>الأسبوع الأول</v>
      </c>
      <c r="C2" s="47" t="s">
        <v>63</v>
      </c>
      <c r="D2" s="47">
        <v>12</v>
      </c>
      <c r="E2" s="47">
        <v>10</v>
      </c>
      <c r="F2" s="47">
        <v>8</v>
      </c>
      <c r="G2" s="47">
        <v>30</v>
      </c>
    </row>
    <row r="3" spans="1:7" ht="15" customHeight="1">
      <c r="A3" s="48">
        <v>46144</v>
      </c>
      <c r="B3" s="49" t="str">
        <f t="shared" si="0"/>
        <v>الأسبوع الأول</v>
      </c>
      <c r="C3" s="49" t="s">
        <v>62</v>
      </c>
      <c r="D3" s="49">
        <v>9</v>
      </c>
      <c r="E3" s="49">
        <v>7</v>
      </c>
      <c r="F3" s="49">
        <v>6</v>
      </c>
      <c r="G3" s="49">
        <v>22</v>
      </c>
    </row>
    <row r="4" spans="1:7" ht="15" customHeight="1">
      <c r="A4" s="46">
        <v>46145</v>
      </c>
      <c r="B4" s="47" t="str">
        <f t="shared" si="0"/>
        <v>الأسبوع الأول</v>
      </c>
      <c r="C4" s="47" t="s">
        <v>61</v>
      </c>
      <c r="D4" s="47">
        <v>11</v>
      </c>
      <c r="E4" s="47">
        <v>9</v>
      </c>
      <c r="F4" s="47">
        <v>7</v>
      </c>
      <c r="G4" s="47">
        <v>27</v>
      </c>
    </row>
    <row r="5" spans="1:7" ht="15" customHeight="1">
      <c r="A5" s="48">
        <v>46146</v>
      </c>
      <c r="B5" s="49" t="str">
        <f t="shared" si="0"/>
        <v>الأسبوع الأول</v>
      </c>
      <c r="C5" s="49" t="s">
        <v>60</v>
      </c>
      <c r="D5" s="49">
        <v>8</v>
      </c>
      <c r="E5" s="49">
        <v>6</v>
      </c>
      <c r="F5" s="49">
        <v>5</v>
      </c>
      <c r="G5" s="49">
        <v>19</v>
      </c>
    </row>
    <row r="6" spans="1:7" ht="15" customHeight="1">
      <c r="A6" s="46">
        <v>46147</v>
      </c>
      <c r="B6" s="47" t="str">
        <f t="shared" si="0"/>
        <v>الأسبوع الأول</v>
      </c>
      <c r="C6" s="47" t="s">
        <v>63</v>
      </c>
      <c r="D6" s="47">
        <v>10</v>
      </c>
      <c r="E6" s="47">
        <v>8</v>
      </c>
      <c r="F6" s="47">
        <v>7</v>
      </c>
      <c r="G6" s="47">
        <v>25</v>
      </c>
    </row>
    <row r="7" spans="1:7" ht="15" customHeight="1">
      <c r="A7" s="48">
        <v>46148</v>
      </c>
      <c r="B7" s="49" t="str">
        <f t="shared" si="0"/>
        <v>الأسبوع الأول</v>
      </c>
      <c r="C7" s="49" t="s">
        <v>61</v>
      </c>
      <c r="D7" s="49">
        <v>13</v>
      </c>
      <c r="E7" s="49">
        <v>11</v>
      </c>
      <c r="F7" s="49">
        <v>9</v>
      </c>
      <c r="G7" s="49">
        <v>33</v>
      </c>
    </row>
    <row r="8" spans="1:7" ht="15" customHeight="1">
      <c r="A8" s="46">
        <v>46149</v>
      </c>
      <c r="B8" s="47" t="str">
        <f t="shared" si="0"/>
        <v>الأسبوع الأول</v>
      </c>
      <c r="C8" s="47" t="s">
        <v>62</v>
      </c>
      <c r="D8" s="47">
        <v>12</v>
      </c>
      <c r="E8" s="47">
        <v>9</v>
      </c>
      <c r="F8" s="47">
        <v>8</v>
      </c>
      <c r="G8" s="47">
        <v>29</v>
      </c>
    </row>
    <row r="9" spans="1:7" ht="15" customHeight="1">
      <c r="A9" s="48">
        <v>46150</v>
      </c>
      <c r="B9" s="49" t="str">
        <f t="shared" si="0"/>
        <v>الأسبوع الثاني</v>
      </c>
      <c r="C9" s="49" t="s">
        <v>60</v>
      </c>
      <c r="D9" s="49">
        <v>9</v>
      </c>
      <c r="E9" s="49">
        <v>8</v>
      </c>
      <c r="F9" s="49">
        <v>6</v>
      </c>
      <c r="G9" s="49">
        <v>23</v>
      </c>
    </row>
    <row r="10" spans="1:7" ht="15" customHeight="1">
      <c r="A10" s="46">
        <v>46151</v>
      </c>
      <c r="B10" s="47" t="str">
        <f t="shared" si="0"/>
        <v>الأسبوع الثاني</v>
      </c>
      <c r="C10" s="47" t="s">
        <v>63</v>
      </c>
      <c r="D10" s="47">
        <v>14</v>
      </c>
      <c r="E10" s="47">
        <v>12</v>
      </c>
      <c r="F10" s="47">
        <v>10</v>
      </c>
      <c r="G10" s="47">
        <v>36</v>
      </c>
    </row>
    <row r="11" spans="1:7" ht="15" customHeight="1">
      <c r="A11" s="48">
        <v>46152</v>
      </c>
      <c r="B11" s="49" t="str">
        <f t="shared" si="0"/>
        <v>الأسبوع الثاني</v>
      </c>
      <c r="C11" s="49" t="s">
        <v>62</v>
      </c>
      <c r="D11" s="49">
        <v>10</v>
      </c>
      <c r="E11" s="49">
        <v>7</v>
      </c>
      <c r="F11" s="49">
        <v>5</v>
      </c>
      <c r="G11" s="49">
        <v>22</v>
      </c>
    </row>
    <row r="12" spans="1:7" ht="15" customHeight="1">
      <c r="A12" s="46">
        <v>46153</v>
      </c>
      <c r="B12" s="47" t="str">
        <f t="shared" si="0"/>
        <v>الأسبوع الثاني</v>
      </c>
      <c r="C12" s="47" t="s">
        <v>63</v>
      </c>
      <c r="D12" s="47">
        <v>12</v>
      </c>
      <c r="E12" s="47">
        <v>10</v>
      </c>
      <c r="F12" s="47">
        <v>8</v>
      </c>
      <c r="G12" s="47">
        <v>30</v>
      </c>
    </row>
    <row r="13" spans="1:7" ht="15" customHeight="1">
      <c r="A13" s="48">
        <v>46154</v>
      </c>
      <c r="B13" s="49" t="str">
        <f t="shared" si="0"/>
        <v>الأسبوع الثاني</v>
      </c>
      <c r="C13" s="49" t="s">
        <v>62</v>
      </c>
      <c r="D13" s="49">
        <v>9</v>
      </c>
      <c r="E13" s="49">
        <v>7</v>
      </c>
      <c r="F13" s="49">
        <v>6</v>
      </c>
      <c r="G13" s="49">
        <v>22</v>
      </c>
    </row>
    <row r="14" spans="1:7" ht="15" customHeight="1">
      <c r="A14" s="46">
        <v>46155</v>
      </c>
      <c r="B14" s="47" t="str">
        <f t="shared" si="0"/>
        <v>الأسبوع الثاني</v>
      </c>
      <c r="C14" s="47" t="s">
        <v>61</v>
      </c>
      <c r="D14" s="47">
        <v>11</v>
      </c>
      <c r="E14" s="47">
        <v>9</v>
      </c>
      <c r="F14" s="47">
        <v>7</v>
      </c>
      <c r="G14" s="47">
        <v>27</v>
      </c>
    </row>
    <row r="15" spans="1:7" ht="15" customHeight="1">
      <c r="A15" s="48">
        <v>46156</v>
      </c>
      <c r="B15" s="49" t="str">
        <f t="shared" si="0"/>
        <v>الأسبوع الثاني</v>
      </c>
      <c r="C15" s="49" t="s">
        <v>60</v>
      </c>
      <c r="D15" s="49">
        <v>8</v>
      </c>
      <c r="E15" s="49">
        <v>6</v>
      </c>
      <c r="F15" s="49">
        <v>5</v>
      </c>
      <c r="G15" s="49">
        <v>19</v>
      </c>
    </row>
    <row r="16" spans="1:7" ht="15" customHeight="1">
      <c r="A16" s="46">
        <v>46157</v>
      </c>
      <c r="B16" s="47" t="str">
        <f t="shared" si="0"/>
        <v>الأسبوع الثالث</v>
      </c>
      <c r="C16" s="47" t="s">
        <v>63</v>
      </c>
      <c r="D16" s="47">
        <v>10</v>
      </c>
      <c r="E16" s="47">
        <v>8</v>
      </c>
      <c r="F16" s="47">
        <v>7</v>
      </c>
      <c r="G16" s="47">
        <v>25</v>
      </c>
    </row>
    <row r="17" spans="1:7" ht="15" customHeight="1">
      <c r="A17" s="48">
        <v>46158</v>
      </c>
      <c r="B17" s="49" t="str">
        <f t="shared" si="0"/>
        <v>الأسبوع الثالث</v>
      </c>
      <c r="C17" s="49" t="s">
        <v>61</v>
      </c>
      <c r="D17" s="49">
        <v>13</v>
      </c>
      <c r="E17" s="49">
        <v>11</v>
      </c>
      <c r="F17" s="49">
        <v>9</v>
      </c>
      <c r="G17" s="49">
        <v>33</v>
      </c>
    </row>
    <row r="18" spans="1:7" ht="15" customHeight="1">
      <c r="A18" s="46">
        <v>46159</v>
      </c>
      <c r="B18" s="47" t="str">
        <f t="shared" si="0"/>
        <v>الأسبوع الثالث</v>
      </c>
      <c r="C18" s="47" t="s">
        <v>62</v>
      </c>
      <c r="D18" s="47">
        <v>12</v>
      </c>
      <c r="E18" s="47">
        <v>9</v>
      </c>
      <c r="F18" s="47">
        <v>8</v>
      </c>
      <c r="G18" s="47">
        <v>29</v>
      </c>
    </row>
    <row r="19" spans="1:7" ht="15" customHeight="1">
      <c r="A19" s="48">
        <v>46160</v>
      </c>
      <c r="B19" s="49" t="str">
        <f t="shared" si="0"/>
        <v>الأسبوع الثالث</v>
      </c>
      <c r="C19" s="49" t="s">
        <v>60</v>
      </c>
      <c r="D19" s="49">
        <v>9</v>
      </c>
      <c r="E19" s="49">
        <v>8</v>
      </c>
      <c r="F19" s="49">
        <v>6</v>
      </c>
      <c r="G19" s="49">
        <v>23</v>
      </c>
    </row>
    <row r="20" spans="1:7" ht="15" customHeight="1">
      <c r="A20" s="46">
        <v>46161</v>
      </c>
      <c r="B20" s="47" t="str">
        <f t="shared" si="0"/>
        <v>الأسبوع الثالث</v>
      </c>
      <c r="C20" s="47" t="s">
        <v>63</v>
      </c>
      <c r="D20" s="47">
        <v>14</v>
      </c>
      <c r="E20" s="47">
        <v>12</v>
      </c>
      <c r="F20" s="47">
        <v>10</v>
      </c>
      <c r="G20" s="47">
        <v>36</v>
      </c>
    </row>
    <row r="21" spans="1:7" ht="15" customHeight="1">
      <c r="A21" s="48">
        <v>46162</v>
      </c>
      <c r="B21" s="49" t="str">
        <f t="shared" si="0"/>
        <v>الأسبوع الثالث</v>
      </c>
      <c r="C21" s="49" t="s">
        <v>62</v>
      </c>
      <c r="D21" s="49">
        <v>10</v>
      </c>
      <c r="E21" s="49">
        <v>7</v>
      </c>
      <c r="F21" s="49">
        <v>5</v>
      </c>
      <c r="G21" s="49">
        <v>22</v>
      </c>
    </row>
    <row r="22" spans="1:7" ht="15" customHeight="1">
      <c r="A22" s="46">
        <v>46163</v>
      </c>
      <c r="B22" s="47" t="str">
        <f t="shared" si="0"/>
        <v>الأسبوع الثالث</v>
      </c>
      <c r="C22" s="47" t="s">
        <v>63</v>
      </c>
      <c r="D22" s="47">
        <v>12</v>
      </c>
      <c r="E22" s="47">
        <v>10</v>
      </c>
      <c r="F22" s="47">
        <v>8</v>
      </c>
      <c r="G22" s="47">
        <v>30</v>
      </c>
    </row>
    <row r="23" spans="1:7" ht="15" customHeight="1">
      <c r="A23" s="48">
        <v>46164</v>
      </c>
      <c r="B23" s="49" t="str">
        <f t="shared" si="0"/>
        <v>الأسبوع الرابع</v>
      </c>
      <c r="C23" s="49" t="s">
        <v>62</v>
      </c>
      <c r="D23" s="49">
        <v>9</v>
      </c>
      <c r="E23" s="49">
        <v>7</v>
      </c>
      <c r="F23" s="49">
        <v>6</v>
      </c>
      <c r="G23" s="49">
        <v>22</v>
      </c>
    </row>
    <row r="24" spans="1:7" ht="15" customHeight="1">
      <c r="A24" s="46">
        <v>46165</v>
      </c>
      <c r="B24" s="47" t="str">
        <f t="shared" si="0"/>
        <v>الأسبوع الرابع</v>
      </c>
      <c r="C24" s="47" t="s">
        <v>61</v>
      </c>
      <c r="D24" s="47">
        <v>11</v>
      </c>
      <c r="E24" s="47">
        <v>9</v>
      </c>
      <c r="F24" s="47">
        <v>7</v>
      </c>
      <c r="G24" s="47">
        <v>27</v>
      </c>
    </row>
    <row r="25" spans="1:7" ht="15" customHeight="1">
      <c r="A25" s="48">
        <v>46166</v>
      </c>
      <c r="B25" s="49" t="str">
        <f t="shared" si="0"/>
        <v>الأسبوع الرابع</v>
      </c>
      <c r="C25" s="49" t="s">
        <v>60</v>
      </c>
      <c r="D25" s="49">
        <v>8</v>
      </c>
      <c r="E25" s="49">
        <v>6</v>
      </c>
      <c r="F25" s="49">
        <v>5</v>
      </c>
      <c r="G25" s="49">
        <v>19</v>
      </c>
    </row>
    <row r="26" spans="1:7" ht="15" customHeight="1">
      <c r="A26" s="46">
        <v>46167</v>
      </c>
      <c r="B26" s="47" t="str">
        <f t="shared" si="0"/>
        <v>الأسبوع الرابع</v>
      </c>
      <c r="C26" s="47" t="s">
        <v>63</v>
      </c>
      <c r="D26" s="47">
        <v>10</v>
      </c>
      <c r="E26" s="47">
        <v>8</v>
      </c>
      <c r="F26" s="47">
        <v>7</v>
      </c>
      <c r="G26" s="47">
        <v>25</v>
      </c>
    </row>
    <row r="27" spans="1:7" ht="15" customHeight="1">
      <c r="A27" s="48">
        <v>46168</v>
      </c>
      <c r="B27" s="49" t="str">
        <f t="shared" si="0"/>
        <v>الأسبوع الرابع</v>
      </c>
      <c r="C27" s="49" t="s">
        <v>61</v>
      </c>
      <c r="D27" s="49">
        <v>13</v>
      </c>
      <c r="E27" s="49">
        <v>11</v>
      </c>
      <c r="F27" s="49">
        <v>9</v>
      </c>
      <c r="G27" s="49">
        <v>33</v>
      </c>
    </row>
    <row r="28" spans="1:7" ht="15" customHeight="1">
      <c r="A28" s="46">
        <v>46169</v>
      </c>
      <c r="B28" s="47" t="str">
        <f t="shared" si="0"/>
        <v>الأسبوع الرابع</v>
      </c>
      <c r="C28" s="47" t="s">
        <v>62</v>
      </c>
      <c r="D28" s="47">
        <v>12</v>
      </c>
      <c r="E28" s="47">
        <v>9</v>
      </c>
      <c r="F28" s="47">
        <v>8</v>
      </c>
      <c r="G28" s="47">
        <v>29</v>
      </c>
    </row>
    <row r="29" spans="1:7" ht="15" customHeight="1">
      <c r="A29" s="48">
        <v>46170</v>
      </c>
      <c r="B29" s="49" t="str">
        <f t="shared" si="0"/>
        <v>الأسبوع الرابع</v>
      </c>
      <c r="C29" s="49" t="s">
        <v>60</v>
      </c>
      <c r="D29" s="49">
        <v>9</v>
      </c>
      <c r="E29" s="49">
        <v>8</v>
      </c>
      <c r="F29" s="49">
        <v>6</v>
      </c>
      <c r="G29" s="49">
        <v>23</v>
      </c>
    </row>
    <row r="30" spans="1:7" ht="15" customHeight="1">
      <c r="A30" s="46">
        <v>46171</v>
      </c>
      <c r="B30" s="47" t="str">
        <f t="shared" si="0"/>
        <v>الأسبوع الخامس</v>
      </c>
      <c r="C30" s="47" t="s">
        <v>63</v>
      </c>
      <c r="D30" s="47">
        <v>14</v>
      </c>
      <c r="E30" s="47">
        <v>12</v>
      </c>
      <c r="F30" s="47">
        <v>10</v>
      </c>
      <c r="G30" s="47">
        <v>36</v>
      </c>
    </row>
    <row r="31" spans="1:7" ht="15" customHeight="1">
      <c r="A31" s="48">
        <v>46172</v>
      </c>
      <c r="B31" s="49" t="str">
        <f t="shared" si="0"/>
        <v>الأسبوع الخامس</v>
      </c>
      <c r="C31" s="49" t="s">
        <v>62</v>
      </c>
      <c r="D31" s="49">
        <v>10</v>
      </c>
      <c r="E31" s="49">
        <v>7</v>
      </c>
      <c r="F31" s="49">
        <v>5</v>
      </c>
      <c r="G31" s="49">
        <v>22</v>
      </c>
    </row>
    <row r="32" spans="1:7" ht="15" customHeight="1">
      <c r="A32" s="46">
        <v>46173</v>
      </c>
      <c r="B32" s="47" t="str">
        <f t="shared" si="0"/>
        <v>الأسبوع الخامس</v>
      </c>
      <c r="C32" s="47" t="s">
        <v>63</v>
      </c>
      <c r="D32" s="47">
        <v>12</v>
      </c>
      <c r="E32" s="47">
        <v>10</v>
      </c>
      <c r="F32" s="47">
        <v>8</v>
      </c>
      <c r="G32" s="47">
        <v>30</v>
      </c>
    </row>
    <row r="33" spans="1:7" ht="15" customHeight="1">
      <c r="A33" s="49"/>
      <c r="B33" s="49"/>
      <c r="C33" s="49"/>
      <c r="D33" s="49"/>
      <c r="E33" s="49"/>
      <c r="F33" s="49"/>
      <c r="G33" s="49"/>
    </row>
    <row r="34" spans="1:7" ht="15" customHeight="1">
      <c r="A34" s="47"/>
      <c r="B34" s="47"/>
      <c r="C34" s="47"/>
      <c r="D34" s="47"/>
      <c r="E34" s="47"/>
      <c r="F34" s="47"/>
      <c r="G34" s="47"/>
    </row>
    <row r="35" spans="1:7" ht="15" customHeight="1">
      <c r="A35" s="49"/>
      <c r="B35" s="49"/>
      <c r="C35" s="49"/>
      <c r="D35" s="49"/>
      <c r="E35" s="49"/>
      <c r="F35" s="49"/>
      <c r="G35" s="49"/>
    </row>
    <row r="36" spans="1:7" ht="15" customHeight="1">
      <c r="A36" s="47"/>
      <c r="B36" s="47"/>
      <c r="C36" s="47"/>
      <c r="D36" s="47"/>
      <c r="E36" s="47"/>
      <c r="F36" s="47"/>
      <c r="G36" s="47"/>
    </row>
    <row r="37" spans="1:7" ht="15" customHeight="1">
      <c r="A37" s="49"/>
      <c r="B37" s="49"/>
      <c r="C37" s="49"/>
      <c r="D37" s="49"/>
      <c r="E37" s="49"/>
      <c r="F37" s="49"/>
      <c r="G37" s="49"/>
    </row>
    <row r="38" spans="1:7" ht="15" customHeight="1">
      <c r="A38" s="47"/>
      <c r="B38" s="47"/>
      <c r="C38" s="47"/>
      <c r="D38" s="47"/>
      <c r="E38" s="47"/>
      <c r="F38" s="47"/>
      <c r="G38" s="47"/>
    </row>
    <row r="39" spans="1:7" ht="15" customHeight="1">
      <c r="A39" s="49"/>
      <c r="B39" s="49"/>
      <c r="C39" s="49"/>
      <c r="D39" s="49"/>
      <c r="E39" s="49"/>
      <c r="F39" s="49"/>
      <c r="G39" s="49"/>
    </row>
    <row r="40" spans="1:7" ht="15" customHeight="1">
      <c r="A40" s="47"/>
      <c r="B40" s="47"/>
      <c r="C40" s="47"/>
      <c r="D40" s="47"/>
      <c r="E40" s="47"/>
      <c r="F40" s="47"/>
      <c r="G40" s="47"/>
    </row>
    <row r="41" spans="1:7" ht="15" customHeight="1">
      <c r="A41" s="49"/>
      <c r="B41" s="49"/>
      <c r="C41" s="49"/>
      <c r="D41" s="49"/>
      <c r="E41" s="49"/>
      <c r="F41" s="49"/>
      <c r="G41" s="4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E2E8F0"/>
  </sheetPr>
  <dimension ref="A1:G32"/>
  <sheetViews>
    <sheetView rightToLeft="1" zoomScaleNormal="100" workbookViewId="0"/>
  </sheetViews>
  <sheetFormatPr defaultColWidth="8.6640625" defaultRowHeight="14.4"/>
  <cols>
    <col min="1" max="1" width="23" customWidth="1"/>
    <col min="2" max="2" width="30" customWidth="1"/>
    <col min="3" max="3" width="15" customWidth="1"/>
    <col min="4" max="4" width="21" customWidth="1"/>
    <col min="5" max="5" width="20" customWidth="1"/>
    <col min="6" max="6" width="12" customWidth="1"/>
    <col min="7" max="7" width="24" customWidth="1"/>
  </cols>
  <sheetData>
    <row r="1" spans="1:7" ht="21.75" customHeight="1">
      <c r="A1" s="45" t="s">
        <v>64</v>
      </c>
      <c r="B1" s="45" t="s">
        <v>286</v>
      </c>
      <c r="C1" s="45" t="s">
        <v>290</v>
      </c>
      <c r="D1" s="45" t="s">
        <v>291</v>
      </c>
      <c r="E1" s="45" t="s">
        <v>292</v>
      </c>
      <c r="F1" s="45" t="s">
        <v>231</v>
      </c>
      <c r="G1" s="45" t="s">
        <v>29</v>
      </c>
    </row>
    <row r="2" spans="1:7" ht="15" customHeight="1">
      <c r="A2" s="46">
        <v>46143</v>
      </c>
      <c r="B2" s="47" t="str">
        <f t="shared" ref="B2:B32" si="0">IF(A2="","",CHOOSE(MIN(5,ROUNDUP(DAY(A2)/7,0)),"الأسبوع الأول","الأسبوع الثاني","الأسبوع الثالث","الأسبوع الرابع","الأسبوع الخامس"))</f>
        <v>الأسبوع الأول</v>
      </c>
      <c r="C2" s="47">
        <v>90</v>
      </c>
      <c r="D2" s="47">
        <v>2</v>
      </c>
      <c r="E2" s="47">
        <v>3</v>
      </c>
      <c r="F2" s="47">
        <f t="shared" ref="F2:F32" si="1">D2+E2</f>
        <v>5</v>
      </c>
      <c r="G2" s="47">
        <f t="shared" ref="G2:G32" si="2">C2-F2</f>
        <v>85</v>
      </c>
    </row>
    <row r="3" spans="1:7" ht="15" customHeight="1">
      <c r="A3" s="48">
        <v>46144</v>
      </c>
      <c r="B3" s="49" t="str">
        <f t="shared" si="0"/>
        <v>الأسبوع الأول</v>
      </c>
      <c r="C3" s="49">
        <v>90</v>
      </c>
      <c r="D3" s="49">
        <v>2</v>
      </c>
      <c r="E3" s="49">
        <v>2</v>
      </c>
      <c r="F3" s="49">
        <f t="shared" si="1"/>
        <v>4</v>
      </c>
      <c r="G3" s="49">
        <f t="shared" si="2"/>
        <v>86</v>
      </c>
    </row>
    <row r="4" spans="1:7" ht="15" customHeight="1">
      <c r="A4" s="46">
        <v>46145</v>
      </c>
      <c r="B4" s="47" t="str">
        <f t="shared" si="0"/>
        <v>الأسبوع الأول</v>
      </c>
      <c r="C4" s="47">
        <v>90</v>
      </c>
      <c r="D4" s="47">
        <v>3</v>
      </c>
      <c r="E4" s="47">
        <v>4</v>
      </c>
      <c r="F4" s="47">
        <f t="shared" si="1"/>
        <v>7</v>
      </c>
      <c r="G4" s="47">
        <f t="shared" si="2"/>
        <v>83</v>
      </c>
    </row>
    <row r="5" spans="1:7" ht="15" customHeight="1">
      <c r="A5" s="48">
        <v>46146</v>
      </c>
      <c r="B5" s="49" t="str">
        <f t="shared" si="0"/>
        <v>الأسبوع الأول</v>
      </c>
      <c r="C5" s="49">
        <v>90</v>
      </c>
      <c r="D5" s="49">
        <v>3</v>
      </c>
      <c r="E5" s="49">
        <v>5</v>
      </c>
      <c r="F5" s="49">
        <f t="shared" si="1"/>
        <v>8</v>
      </c>
      <c r="G5" s="49">
        <f t="shared" si="2"/>
        <v>82</v>
      </c>
    </row>
    <row r="6" spans="1:7" ht="15" customHeight="1">
      <c r="A6" s="46">
        <v>46147</v>
      </c>
      <c r="B6" s="47" t="str">
        <f t="shared" si="0"/>
        <v>الأسبوع الأول</v>
      </c>
      <c r="C6" s="47">
        <v>90</v>
      </c>
      <c r="D6" s="47">
        <v>7</v>
      </c>
      <c r="E6" s="47">
        <v>4</v>
      </c>
      <c r="F6" s="47">
        <f t="shared" si="1"/>
        <v>11</v>
      </c>
      <c r="G6" s="47">
        <f t="shared" si="2"/>
        <v>79</v>
      </c>
    </row>
    <row r="7" spans="1:7" ht="15" customHeight="1">
      <c r="A7" s="48">
        <v>46148</v>
      </c>
      <c r="B7" s="49" t="str">
        <f t="shared" si="0"/>
        <v>الأسبوع الأول</v>
      </c>
      <c r="C7" s="49">
        <v>90</v>
      </c>
      <c r="D7" s="49">
        <v>7</v>
      </c>
      <c r="E7" s="49">
        <v>7</v>
      </c>
      <c r="F7" s="49">
        <f t="shared" si="1"/>
        <v>14</v>
      </c>
      <c r="G7" s="49">
        <f t="shared" si="2"/>
        <v>76</v>
      </c>
    </row>
    <row r="8" spans="1:7" ht="15" customHeight="1">
      <c r="A8" s="46">
        <v>46149</v>
      </c>
      <c r="B8" s="47" t="str">
        <f t="shared" si="0"/>
        <v>الأسبوع الأول</v>
      </c>
      <c r="C8" s="47">
        <v>90</v>
      </c>
      <c r="D8" s="47">
        <v>6</v>
      </c>
      <c r="E8" s="47">
        <v>6</v>
      </c>
      <c r="F8" s="47">
        <f t="shared" si="1"/>
        <v>12</v>
      </c>
      <c r="G8" s="47">
        <f t="shared" si="2"/>
        <v>78</v>
      </c>
    </row>
    <row r="9" spans="1:7" ht="15" customHeight="1">
      <c r="A9" s="48">
        <v>46150</v>
      </c>
      <c r="B9" s="49" t="str">
        <f t="shared" si="0"/>
        <v>الأسبوع الثاني</v>
      </c>
      <c r="C9" s="49">
        <v>90</v>
      </c>
      <c r="D9" s="49">
        <v>4</v>
      </c>
      <c r="E9" s="49">
        <v>5</v>
      </c>
      <c r="F9" s="49">
        <f t="shared" si="1"/>
        <v>9</v>
      </c>
      <c r="G9" s="49">
        <f t="shared" si="2"/>
        <v>81</v>
      </c>
    </row>
    <row r="10" spans="1:7" ht="15" customHeight="1">
      <c r="A10" s="46">
        <v>46151</v>
      </c>
      <c r="B10" s="47" t="str">
        <f t="shared" si="0"/>
        <v>الأسبوع الثاني</v>
      </c>
      <c r="C10" s="47">
        <v>90</v>
      </c>
      <c r="D10" s="47">
        <v>2</v>
      </c>
      <c r="E10" s="47">
        <v>3</v>
      </c>
      <c r="F10" s="47">
        <f t="shared" si="1"/>
        <v>5</v>
      </c>
      <c r="G10" s="47">
        <f t="shared" si="2"/>
        <v>85</v>
      </c>
    </row>
    <row r="11" spans="1:7" ht="15" customHeight="1">
      <c r="A11" s="48">
        <v>46152</v>
      </c>
      <c r="B11" s="49" t="str">
        <f t="shared" si="0"/>
        <v>الأسبوع الثاني</v>
      </c>
      <c r="C11" s="49">
        <v>90</v>
      </c>
      <c r="D11" s="49">
        <v>2</v>
      </c>
      <c r="E11" s="49">
        <v>2</v>
      </c>
      <c r="F11" s="49">
        <f t="shared" si="1"/>
        <v>4</v>
      </c>
      <c r="G11" s="49">
        <f t="shared" si="2"/>
        <v>86</v>
      </c>
    </row>
    <row r="12" spans="1:7" ht="15" customHeight="1">
      <c r="A12" s="46">
        <v>46153</v>
      </c>
      <c r="B12" s="47" t="str">
        <f t="shared" si="0"/>
        <v>الأسبوع الثاني</v>
      </c>
      <c r="C12" s="47">
        <v>90</v>
      </c>
      <c r="D12" s="47">
        <v>3</v>
      </c>
      <c r="E12" s="47">
        <v>4</v>
      </c>
      <c r="F12" s="47">
        <f t="shared" si="1"/>
        <v>7</v>
      </c>
      <c r="G12" s="47">
        <f t="shared" si="2"/>
        <v>83</v>
      </c>
    </row>
    <row r="13" spans="1:7" ht="15" customHeight="1">
      <c r="A13" s="48">
        <v>46154</v>
      </c>
      <c r="B13" s="49" t="str">
        <f t="shared" si="0"/>
        <v>الأسبوع الثاني</v>
      </c>
      <c r="C13" s="49">
        <v>90</v>
      </c>
      <c r="D13" s="49">
        <v>3</v>
      </c>
      <c r="E13" s="49">
        <v>5</v>
      </c>
      <c r="F13" s="49">
        <f t="shared" si="1"/>
        <v>8</v>
      </c>
      <c r="G13" s="49">
        <f t="shared" si="2"/>
        <v>82</v>
      </c>
    </row>
    <row r="14" spans="1:7" ht="15" customHeight="1">
      <c r="A14" s="46">
        <v>46155</v>
      </c>
      <c r="B14" s="47" t="str">
        <f t="shared" si="0"/>
        <v>الأسبوع الثاني</v>
      </c>
      <c r="C14" s="47">
        <v>90</v>
      </c>
      <c r="D14" s="47">
        <v>7</v>
      </c>
      <c r="E14" s="47">
        <v>4</v>
      </c>
      <c r="F14" s="47">
        <f t="shared" si="1"/>
        <v>11</v>
      </c>
      <c r="G14" s="47">
        <f t="shared" si="2"/>
        <v>79</v>
      </c>
    </row>
    <row r="15" spans="1:7" ht="15" customHeight="1">
      <c r="A15" s="48">
        <v>46156</v>
      </c>
      <c r="B15" s="49" t="str">
        <f t="shared" si="0"/>
        <v>الأسبوع الثاني</v>
      </c>
      <c r="C15" s="49">
        <v>90</v>
      </c>
      <c r="D15" s="49">
        <v>7</v>
      </c>
      <c r="E15" s="49">
        <v>7</v>
      </c>
      <c r="F15" s="49">
        <f t="shared" si="1"/>
        <v>14</v>
      </c>
      <c r="G15" s="49">
        <f t="shared" si="2"/>
        <v>76</v>
      </c>
    </row>
    <row r="16" spans="1:7" ht="15" customHeight="1">
      <c r="A16" s="46">
        <v>46157</v>
      </c>
      <c r="B16" s="47" t="str">
        <f t="shared" si="0"/>
        <v>الأسبوع الثالث</v>
      </c>
      <c r="C16" s="47">
        <v>90</v>
      </c>
      <c r="D16" s="47">
        <v>6</v>
      </c>
      <c r="E16" s="47">
        <v>6</v>
      </c>
      <c r="F16" s="47">
        <f t="shared" si="1"/>
        <v>12</v>
      </c>
      <c r="G16" s="47">
        <f t="shared" si="2"/>
        <v>78</v>
      </c>
    </row>
    <row r="17" spans="1:7" ht="15" customHeight="1">
      <c r="A17" s="48">
        <v>46158</v>
      </c>
      <c r="B17" s="49" t="str">
        <f t="shared" si="0"/>
        <v>الأسبوع الثالث</v>
      </c>
      <c r="C17" s="49">
        <v>90</v>
      </c>
      <c r="D17" s="49">
        <v>4</v>
      </c>
      <c r="E17" s="49">
        <v>5</v>
      </c>
      <c r="F17" s="49">
        <f t="shared" si="1"/>
        <v>9</v>
      </c>
      <c r="G17" s="49">
        <f t="shared" si="2"/>
        <v>81</v>
      </c>
    </row>
    <row r="18" spans="1:7" ht="15" customHeight="1">
      <c r="A18" s="46">
        <v>46159</v>
      </c>
      <c r="B18" s="47" t="str">
        <f t="shared" si="0"/>
        <v>الأسبوع الثالث</v>
      </c>
      <c r="C18" s="47">
        <v>90</v>
      </c>
      <c r="D18" s="47">
        <v>2</v>
      </c>
      <c r="E18" s="47">
        <v>3</v>
      </c>
      <c r="F18" s="47">
        <f t="shared" si="1"/>
        <v>5</v>
      </c>
      <c r="G18" s="47">
        <f t="shared" si="2"/>
        <v>85</v>
      </c>
    </row>
    <row r="19" spans="1:7" ht="15" customHeight="1">
      <c r="A19" s="48">
        <v>46160</v>
      </c>
      <c r="B19" s="49" t="str">
        <f t="shared" si="0"/>
        <v>الأسبوع الثالث</v>
      </c>
      <c r="C19" s="49">
        <v>90</v>
      </c>
      <c r="D19" s="49">
        <v>2</v>
      </c>
      <c r="E19" s="49">
        <v>2</v>
      </c>
      <c r="F19" s="49">
        <f t="shared" si="1"/>
        <v>4</v>
      </c>
      <c r="G19" s="49">
        <f t="shared" si="2"/>
        <v>86</v>
      </c>
    </row>
    <row r="20" spans="1:7" ht="15" customHeight="1">
      <c r="A20" s="46">
        <v>46161</v>
      </c>
      <c r="B20" s="47" t="str">
        <f t="shared" si="0"/>
        <v>الأسبوع الثالث</v>
      </c>
      <c r="C20" s="47">
        <v>90</v>
      </c>
      <c r="D20" s="47">
        <v>3</v>
      </c>
      <c r="E20" s="47">
        <v>4</v>
      </c>
      <c r="F20" s="47">
        <f t="shared" si="1"/>
        <v>7</v>
      </c>
      <c r="G20" s="47">
        <f t="shared" si="2"/>
        <v>83</v>
      </c>
    </row>
    <row r="21" spans="1:7" ht="15" customHeight="1">
      <c r="A21" s="48">
        <v>46162</v>
      </c>
      <c r="B21" s="49" t="str">
        <f t="shared" si="0"/>
        <v>الأسبوع الثالث</v>
      </c>
      <c r="C21" s="49">
        <v>90</v>
      </c>
      <c r="D21" s="49">
        <v>3</v>
      </c>
      <c r="E21" s="49">
        <v>5</v>
      </c>
      <c r="F21" s="49">
        <f t="shared" si="1"/>
        <v>8</v>
      </c>
      <c r="G21" s="49">
        <f t="shared" si="2"/>
        <v>82</v>
      </c>
    </row>
    <row r="22" spans="1:7" ht="15" customHeight="1">
      <c r="A22" s="46">
        <v>46163</v>
      </c>
      <c r="B22" s="47" t="str">
        <f t="shared" si="0"/>
        <v>الأسبوع الثالث</v>
      </c>
      <c r="C22" s="47">
        <v>90</v>
      </c>
      <c r="D22" s="47">
        <v>7</v>
      </c>
      <c r="E22" s="47">
        <v>4</v>
      </c>
      <c r="F22" s="47">
        <f t="shared" si="1"/>
        <v>11</v>
      </c>
      <c r="G22" s="47">
        <f t="shared" si="2"/>
        <v>79</v>
      </c>
    </row>
    <row r="23" spans="1:7" ht="15" customHeight="1">
      <c r="A23" s="48">
        <v>46164</v>
      </c>
      <c r="B23" s="49" t="str">
        <f t="shared" si="0"/>
        <v>الأسبوع الرابع</v>
      </c>
      <c r="C23" s="49">
        <v>90</v>
      </c>
      <c r="D23" s="49">
        <v>7</v>
      </c>
      <c r="E23" s="49">
        <v>7</v>
      </c>
      <c r="F23" s="49">
        <f t="shared" si="1"/>
        <v>14</v>
      </c>
      <c r="G23" s="49">
        <f t="shared" si="2"/>
        <v>76</v>
      </c>
    </row>
    <row r="24" spans="1:7" ht="15" customHeight="1">
      <c r="A24" s="46">
        <v>46165</v>
      </c>
      <c r="B24" s="47" t="str">
        <f t="shared" si="0"/>
        <v>الأسبوع الرابع</v>
      </c>
      <c r="C24" s="47">
        <v>90</v>
      </c>
      <c r="D24" s="47">
        <v>6</v>
      </c>
      <c r="E24" s="47">
        <v>6</v>
      </c>
      <c r="F24" s="47">
        <f t="shared" si="1"/>
        <v>12</v>
      </c>
      <c r="G24" s="47">
        <f t="shared" si="2"/>
        <v>78</v>
      </c>
    </row>
    <row r="25" spans="1:7" ht="15" customHeight="1">
      <c r="A25" s="48">
        <v>46166</v>
      </c>
      <c r="B25" s="49" t="str">
        <f t="shared" si="0"/>
        <v>الأسبوع الرابع</v>
      </c>
      <c r="C25" s="49">
        <v>90</v>
      </c>
      <c r="D25" s="49">
        <v>4</v>
      </c>
      <c r="E25" s="49">
        <v>5</v>
      </c>
      <c r="F25" s="49">
        <f t="shared" si="1"/>
        <v>9</v>
      </c>
      <c r="G25" s="49">
        <f t="shared" si="2"/>
        <v>81</v>
      </c>
    </row>
    <row r="26" spans="1:7" ht="15" customHeight="1">
      <c r="A26" s="46">
        <v>46167</v>
      </c>
      <c r="B26" s="47" t="str">
        <f t="shared" si="0"/>
        <v>الأسبوع الرابع</v>
      </c>
      <c r="C26" s="47">
        <v>90</v>
      </c>
      <c r="D26" s="47">
        <v>2</v>
      </c>
      <c r="E26" s="47">
        <v>3</v>
      </c>
      <c r="F26" s="47">
        <f t="shared" si="1"/>
        <v>5</v>
      </c>
      <c r="G26" s="47">
        <f t="shared" si="2"/>
        <v>85</v>
      </c>
    </row>
    <row r="27" spans="1:7" ht="15" customHeight="1">
      <c r="A27" s="48">
        <v>46168</v>
      </c>
      <c r="B27" s="49" t="str">
        <f t="shared" si="0"/>
        <v>الأسبوع الرابع</v>
      </c>
      <c r="C27" s="49">
        <v>90</v>
      </c>
      <c r="D27" s="49">
        <v>2</v>
      </c>
      <c r="E27" s="49">
        <v>2</v>
      </c>
      <c r="F27" s="49">
        <f t="shared" si="1"/>
        <v>4</v>
      </c>
      <c r="G27" s="49">
        <f t="shared" si="2"/>
        <v>86</v>
      </c>
    </row>
    <row r="28" spans="1:7" ht="15" customHeight="1">
      <c r="A28" s="46">
        <v>46169</v>
      </c>
      <c r="B28" s="47" t="str">
        <f t="shared" si="0"/>
        <v>الأسبوع الرابع</v>
      </c>
      <c r="C28" s="47">
        <v>90</v>
      </c>
      <c r="D28" s="47">
        <v>3</v>
      </c>
      <c r="E28" s="47">
        <v>4</v>
      </c>
      <c r="F28" s="47">
        <f t="shared" si="1"/>
        <v>7</v>
      </c>
      <c r="G28" s="47">
        <f t="shared" si="2"/>
        <v>83</v>
      </c>
    </row>
    <row r="29" spans="1:7" ht="15" customHeight="1">
      <c r="A29" s="48">
        <v>46170</v>
      </c>
      <c r="B29" s="49" t="str">
        <f t="shared" si="0"/>
        <v>الأسبوع الرابع</v>
      </c>
      <c r="C29" s="49">
        <v>90</v>
      </c>
      <c r="D29" s="49">
        <v>3</v>
      </c>
      <c r="E29" s="49">
        <v>5</v>
      </c>
      <c r="F29" s="49">
        <f t="shared" si="1"/>
        <v>8</v>
      </c>
      <c r="G29" s="49">
        <f t="shared" si="2"/>
        <v>82</v>
      </c>
    </row>
    <row r="30" spans="1:7" ht="15" customHeight="1">
      <c r="A30" s="46">
        <v>46171</v>
      </c>
      <c r="B30" s="47" t="str">
        <f t="shared" si="0"/>
        <v>الأسبوع الخامس</v>
      </c>
      <c r="C30" s="47">
        <v>90</v>
      </c>
      <c r="D30" s="47">
        <v>7</v>
      </c>
      <c r="E30" s="47">
        <v>4</v>
      </c>
      <c r="F30" s="47">
        <f t="shared" si="1"/>
        <v>11</v>
      </c>
      <c r="G30" s="47">
        <f t="shared" si="2"/>
        <v>79</v>
      </c>
    </row>
    <row r="31" spans="1:7" ht="15" customHeight="1">
      <c r="A31" s="48">
        <v>46172</v>
      </c>
      <c r="B31" s="49" t="str">
        <f t="shared" si="0"/>
        <v>الأسبوع الخامس</v>
      </c>
      <c r="C31" s="49">
        <v>90</v>
      </c>
      <c r="D31" s="49">
        <v>7</v>
      </c>
      <c r="E31" s="49">
        <v>7</v>
      </c>
      <c r="F31" s="49">
        <f t="shared" si="1"/>
        <v>14</v>
      </c>
      <c r="G31" s="49">
        <f t="shared" si="2"/>
        <v>76</v>
      </c>
    </row>
    <row r="32" spans="1:7" ht="15" customHeight="1">
      <c r="A32" s="46">
        <v>46173</v>
      </c>
      <c r="B32" s="47" t="str">
        <f t="shared" si="0"/>
        <v>الأسبوع الخامس</v>
      </c>
      <c r="C32" s="47">
        <v>90</v>
      </c>
      <c r="D32" s="47">
        <v>6</v>
      </c>
      <c r="E32" s="47">
        <v>6</v>
      </c>
      <c r="F32" s="47">
        <f t="shared" si="1"/>
        <v>12</v>
      </c>
      <c r="G32" s="47">
        <f t="shared" si="2"/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2E8F0"/>
  </sheetPr>
  <dimension ref="A1:F32"/>
  <sheetViews>
    <sheetView rightToLeft="1" zoomScaleNormal="100" workbookViewId="0"/>
  </sheetViews>
  <sheetFormatPr defaultColWidth="8.6640625" defaultRowHeight="14.4"/>
  <cols>
    <col min="1" max="1" width="23" customWidth="1"/>
    <col min="2" max="2" width="30" customWidth="1"/>
    <col min="3" max="3" width="15" customWidth="1"/>
    <col min="4" max="4" width="13" customWidth="1"/>
    <col min="5" max="5" width="15" customWidth="1"/>
    <col min="6" max="6" width="20" customWidth="1"/>
  </cols>
  <sheetData>
    <row r="1" spans="1:6" ht="21.75" customHeight="1">
      <c r="A1" s="45" t="s">
        <v>64</v>
      </c>
      <c r="B1" s="45" t="s">
        <v>286</v>
      </c>
      <c r="C1" s="45" t="s">
        <v>290</v>
      </c>
      <c r="D1" s="45" t="s">
        <v>249</v>
      </c>
      <c r="E1" s="45" t="s">
        <v>250</v>
      </c>
      <c r="F1" s="45" t="s">
        <v>293</v>
      </c>
    </row>
    <row r="2" spans="1:6" ht="15" customHeight="1">
      <c r="A2" s="46">
        <v>46143</v>
      </c>
      <c r="B2" s="47" t="str">
        <f t="shared" ref="B2:B32" si="0">IF(A2="","",CHOOSE(MIN(5,ROUNDUP(DAY(A2)/7,0)),"الأسبوع الأول","الأسبوع الثاني","الأسبوع الثالث","الأسبوع الرابع","الأسبوع الخامس"))</f>
        <v>الأسبوع الأول</v>
      </c>
      <c r="C2" s="47">
        <v>70</v>
      </c>
      <c r="D2" s="47">
        <v>60</v>
      </c>
      <c r="E2" s="47">
        <f t="shared" ref="E2:E32" si="1">C2-D2</f>
        <v>10</v>
      </c>
      <c r="F2" s="47">
        <f t="shared" ref="F2:F32" si="2">C2-E2</f>
        <v>60</v>
      </c>
    </row>
    <row r="3" spans="1:6" ht="15" customHeight="1">
      <c r="A3" s="48">
        <v>46144</v>
      </c>
      <c r="B3" s="49" t="str">
        <f t="shared" si="0"/>
        <v>الأسبوع الأول</v>
      </c>
      <c r="C3" s="49">
        <v>70</v>
      </c>
      <c r="D3" s="49">
        <v>50</v>
      </c>
      <c r="E3" s="49">
        <f t="shared" si="1"/>
        <v>20</v>
      </c>
      <c r="F3" s="49">
        <f t="shared" si="2"/>
        <v>50</v>
      </c>
    </row>
    <row r="4" spans="1:6" ht="15" customHeight="1">
      <c r="A4" s="46">
        <v>46145</v>
      </c>
      <c r="B4" s="47" t="str">
        <f t="shared" si="0"/>
        <v>الأسبوع الأول</v>
      </c>
      <c r="C4" s="47">
        <v>70</v>
      </c>
      <c r="D4" s="47">
        <v>60</v>
      </c>
      <c r="E4" s="47">
        <f t="shared" si="1"/>
        <v>10</v>
      </c>
      <c r="F4" s="47">
        <f t="shared" si="2"/>
        <v>60</v>
      </c>
    </row>
    <row r="5" spans="1:6" ht="15" customHeight="1">
      <c r="A5" s="48">
        <v>46146</v>
      </c>
      <c r="B5" s="49" t="str">
        <f t="shared" si="0"/>
        <v>الأسبوع الأول</v>
      </c>
      <c r="C5" s="49">
        <v>70</v>
      </c>
      <c r="D5" s="49">
        <v>55</v>
      </c>
      <c r="E5" s="49">
        <f t="shared" si="1"/>
        <v>15</v>
      </c>
      <c r="F5" s="49">
        <f t="shared" si="2"/>
        <v>55</v>
      </c>
    </row>
    <row r="6" spans="1:6" ht="15" customHeight="1">
      <c r="A6" s="46">
        <v>46147</v>
      </c>
      <c r="B6" s="47" t="str">
        <f t="shared" si="0"/>
        <v>الأسبوع الأول</v>
      </c>
      <c r="C6" s="47">
        <v>70</v>
      </c>
      <c r="D6" s="47">
        <v>65</v>
      </c>
      <c r="E6" s="47">
        <f t="shared" si="1"/>
        <v>5</v>
      </c>
      <c r="F6" s="47">
        <f t="shared" si="2"/>
        <v>65</v>
      </c>
    </row>
    <row r="7" spans="1:6" ht="15" customHeight="1">
      <c r="A7" s="48">
        <v>46148</v>
      </c>
      <c r="B7" s="49" t="str">
        <f t="shared" si="0"/>
        <v>الأسبوع الأول</v>
      </c>
      <c r="C7" s="49">
        <v>70</v>
      </c>
      <c r="D7" s="49">
        <v>45</v>
      </c>
      <c r="E7" s="49">
        <f t="shared" si="1"/>
        <v>25</v>
      </c>
      <c r="F7" s="49">
        <f t="shared" si="2"/>
        <v>45</v>
      </c>
    </row>
    <row r="8" spans="1:6" ht="15" customHeight="1">
      <c r="A8" s="46">
        <v>46149</v>
      </c>
      <c r="B8" s="47" t="str">
        <f t="shared" si="0"/>
        <v>الأسبوع الأول</v>
      </c>
      <c r="C8" s="47">
        <v>70</v>
      </c>
      <c r="D8" s="47">
        <v>45</v>
      </c>
      <c r="E8" s="47">
        <f t="shared" si="1"/>
        <v>25</v>
      </c>
      <c r="F8" s="47">
        <f t="shared" si="2"/>
        <v>45</v>
      </c>
    </row>
    <row r="9" spans="1:6" ht="15" customHeight="1">
      <c r="A9" s="48">
        <v>46150</v>
      </c>
      <c r="B9" s="49" t="str">
        <f t="shared" si="0"/>
        <v>الأسبوع الثاني</v>
      </c>
      <c r="C9" s="49">
        <v>70</v>
      </c>
      <c r="D9" s="49">
        <v>50</v>
      </c>
      <c r="E9" s="49">
        <f t="shared" si="1"/>
        <v>20</v>
      </c>
      <c r="F9" s="49">
        <f t="shared" si="2"/>
        <v>50</v>
      </c>
    </row>
    <row r="10" spans="1:6" ht="15" customHeight="1">
      <c r="A10" s="46">
        <v>46151</v>
      </c>
      <c r="B10" s="47" t="str">
        <f t="shared" si="0"/>
        <v>الأسبوع الثاني</v>
      </c>
      <c r="C10" s="47">
        <v>70</v>
      </c>
      <c r="D10" s="47">
        <v>60</v>
      </c>
      <c r="E10" s="47">
        <f t="shared" si="1"/>
        <v>10</v>
      </c>
      <c r="F10" s="47">
        <f t="shared" si="2"/>
        <v>60</v>
      </c>
    </row>
    <row r="11" spans="1:6" ht="15" customHeight="1">
      <c r="A11" s="48">
        <v>46152</v>
      </c>
      <c r="B11" s="49" t="str">
        <f t="shared" si="0"/>
        <v>الأسبوع الثاني</v>
      </c>
      <c r="C11" s="49">
        <v>70</v>
      </c>
      <c r="D11" s="49">
        <v>60</v>
      </c>
      <c r="E11" s="49">
        <f t="shared" si="1"/>
        <v>10</v>
      </c>
      <c r="F11" s="49">
        <f t="shared" si="2"/>
        <v>60</v>
      </c>
    </row>
    <row r="12" spans="1:6" ht="15" customHeight="1">
      <c r="A12" s="46">
        <v>46153</v>
      </c>
      <c r="B12" s="47" t="str">
        <f t="shared" si="0"/>
        <v>الأسبوع الثاني</v>
      </c>
      <c r="C12" s="47">
        <v>70</v>
      </c>
      <c r="D12" s="47">
        <v>50</v>
      </c>
      <c r="E12" s="47">
        <f t="shared" si="1"/>
        <v>20</v>
      </c>
      <c r="F12" s="47">
        <f t="shared" si="2"/>
        <v>50</v>
      </c>
    </row>
    <row r="13" spans="1:6" ht="15" customHeight="1">
      <c r="A13" s="48">
        <v>46154</v>
      </c>
      <c r="B13" s="49" t="str">
        <f t="shared" si="0"/>
        <v>الأسبوع الثاني</v>
      </c>
      <c r="C13" s="49">
        <v>70</v>
      </c>
      <c r="D13" s="49">
        <v>60</v>
      </c>
      <c r="E13" s="49">
        <f t="shared" si="1"/>
        <v>10</v>
      </c>
      <c r="F13" s="49">
        <f t="shared" si="2"/>
        <v>60</v>
      </c>
    </row>
    <row r="14" spans="1:6" ht="15" customHeight="1">
      <c r="A14" s="46">
        <v>46155</v>
      </c>
      <c r="B14" s="47" t="str">
        <f t="shared" si="0"/>
        <v>الأسبوع الثاني</v>
      </c>
      <c r="C14" s="47">
        <v>70</v>
      </c>
      <c r="D14" s="47">
        <v>55</v>
      </c>
      <c r="E14" s="47">
        <f t="shared" si="1"/>
        <v>15</v>
      </c>
      <c r="F14" s="47">
        <f t="shared" si="2"/>
        <v>55</v>
      </c>
    </row>
    <row r="15" spans="1:6" ht="15" customHeight="1">
      <c r="A15" s="48">
        <v>46156</v>
      </c>
      <c r="B15" s="49" t="str">
        <f t="shared" si="0"/>
        <v>الأسبوع الثاني</v>
      </c>
      <c r="C15" s="49">
        <v>70</v>
      </c>
      <c r="D15" s="49">
        <v>65</v>
      </c>
      <c r="E15" s="49">
        <f t="shared" si="1"/>
        <v>5</v>
      </c>
      <c r="F15" s="49">
        <f t="shared" si="2"/>
        <v>65</v>
      </c>
    </row>
    <row r="16" spans="1:6" ht="15" customHeight="1">
      <c r="A16" s="46">
        <v>46157</v>
      </c>
      <c r="B16" s="47" t="str">
        <f t="shared" si="0"/>
        <v>الأسبوع الثالث</v>
      </c>
      <c r="C16" s="47">
        <v>70</v>
      </c>
      <c r="D16" s="47">
        <v>45</v>
      </c>
      <c r="E16" s="47">
        <f t="shared" si="1"/>
        <v>25</v>
      </c>
      <c r="F16" s="47">
        <f t="shared" si="2"/>
        <v>45</v>
      </c>
    </row>
    <row r="17" spans="1:6" ht="15" customHeight="1">
      <c r="A17" s="48">
        <v>46158</v>
      </c>
      <c r="B17" s="49" t="str">
        <f t="shared" si="0"/>
        <v>الأسبوع الثالث</v>
      </c>
      <c r="C17" s="49">
        <v>70</v>
      </c>
      <c r="D17" s="49">
        <v>45</v>
      </c>
      <c r="E17" s="49">
        <f t="shared" si="1"/>
        <v>25</v>
      </c>
      <c r="F17" s="49">
        <f t="shared" si="2"/>
        <v>45</v>
      </c>
    </row>
    <row r="18" spans="1:6" ht="15" customHeight="1">
      <c r="A18" s="46">
        <v>46159</v>
      </c>
      <c r="B18" s="47" t="str">
        <f t="shared" si="0"/>
        <v>الأسبوع الثالث</v>
      </c>
      <c r="C18" s="47">
        <v>70</v>
      </c>
      <c r="D18" s="47">
        <v>50</v>
      </c>
      <c r="E18" s="47">
        <f t="shared" si="1"/>
        <v>20</v>
      </c>
      <c r="F18" s="47">
        <f t="shared" si="2"/>
        <v>50</v>
      </c>
    </row>
    <row r="19" spans="1:6" ht="15" customHeight="1">
      <c r="A19" s="48">
        <v>46160</v>
      </c>
      <c r="B19" s="49" t="str">
        <f t="shared" si="0"/>
        <v>الأسبوع الثالث</v>
      </c>
      <c r="C19" s="49">
        <v>70</v>
      </c>
      <c r="D19" s="49">
        <v>60</v>
      </c>
      <c r="E19" s="49">
        <f t="shared" si="1"/>
        <v>10</v>
      </c>
      <c r="F19" s="49">
        <f t="shared" si="2"/>
        <v>60</v>
      </c>
    </row>
    <row r="20" spans="1:6" ht="15" customHeight="1">
      <c r="A20" s="46">
        <v>46161</v>
      </c>
      <c r="B20" s="47" t="str">
        <f t="shared" si="0"/>
        <v>الأسبوع الثالث</v>
      </c>
      <c r="C20" s="47">
        <v>70</v>
      </c>
      <c r="D20" s="47">
        <v>60</v>
      </c>
      <c r="E20" s="47">
        <f t="shared" si="1"/>
        <v>10</v>
      </c>
      <c r="F20" s="47">
        <f t="shared" si="2"/>
        <v>60</v>
      </c>
    </row>
    <row r="21" spans="1:6" ht="15" customHeight="1">
      <c r="A21" s="48">
        <v>46162</v>
      </c>
      <c r="B21" s="49" t="str">
        <f t="shared" si="0"/>
        <v>الأسبوع الثالث</v>
      </c>
      <c r="C21" s="49">
        <v>70</v>
      </c>
      <c r="D21" s="49">
        <v>50</v>
      </c>
      <c r="E21" s="49">
        <f t="shared" si="1"/>
        <v>20</v>
      </c>
      <c r="F21" s="49">
        <f t="shared" si="2"/>
        <v>50</v>
      </c>
    </row>
    <row r="22" spans="1:6" ht="15" customHeight="1">
      <c r="A22" s="46">
        <v>46163</v>
      </c>
      <c r="B22" s="47" t="str">
        <f t="shared" si="0"/>
        <v>الأسبوع الثالث</v>
      </c>
      <c r="C22" s="47">
        <v>70</v>
      </c>
      <c r="D22" s="47">
        <v>60</v>
      </c>
      <c r="E22" s="47">
        <f t="shared" si="1"/>
        <v>10</v>
      </c>
      <c r="F22" s="47">
        <f t="shared" si="2"/>
        <v>60</v>
      </c>
    </row>
    <row r="23" spans="1:6" ht="15" customHeight="1">
      <c r="A23" s="48">
        <v>46164</v>
      </c>
      <c r="B23" s="49" t="str">
        <f t="shared" si="0"/>
        <v>الأسبوع الرابع</v>
      </c>
      <c r="C23" s="49">
        <v>70</v>
      </c>
      <c r="D23" s="49">
        <v>55</v>
      </c>
      <c r="E23" s="49">
        <f t="shared" si="1"/>
        <v>15</v>
      </c>
      <c r="F23" s="49">
        <f t="shared" si="2"/>
        <v>55</v>
      </c>
    </row>
    <row r="24" spans="1:6" ht="15" customHeight="1">
      <c r="A24" s="46">
        <v>46165</v>
      </c>
      <c r="B24" s="47" t="str">
        <f t="shared" si="0"/>
        <v>الأسبوع الرابع</v>
      </c>
      <c r="C24" s="47">
        <v>70</v>
      </c>
      <c r="D24" s="47">
        <v>65</v>
      </c>
      <c r="E24" s="47">
        <f t="shared" si="1"/>
        <v>5</v>
      </c>
      <c r="F24" s="47">
        <f t="shared" si="2"/>
        <v>65</v>
      </c>
    </row>
    <row r="25" spans="1:6" ht="15" customHeight="1">
      <c r="A25" s="48">
        <v>46166</v>
      </c>
      <c r="B25" s="49" t="str">
        <f t="shared" si="0"/>
        <v>الأسبوع الرابع</v>
      </c>
      <c r="C25" s="49">
        <v>70</v>
      </c>
      <c r="D25" s="49">
        <v>45</v>
      </c>
      <c r="E25" s="49">
        <f t="shared" si="1"/>
        <v>25</v>
      </c>
      <c r="F25" s="49">
        <f t="shared" si="2"/>
        <v>45</v>
      </c>
    </row>
    <row r="26" spans="1:6" ht="15" customHeight="1">
      <c r="A26" s="46">
        <v>46167</v>
      </c>
      <c r="B26" s="47" t="str">
        <f t="shared" si="0"/>
        <v>الأسبوع الرابع</v>
      </c>
      <c r="C26" s="47">
        <v>70</v>
      </c>
      <c r="D26" s="47">
        <v>45</v>
      </c>
      <c r="E26" s="47">
        <f t="shared" si="1"/>
        <v>25</v>
      </c>
      <c r="F26" s="47">
        <f t="shared" si="2"/>
        <v>45</v>
      </c>
    </row>
    <row r="27" spans="1:6" ht="15" customHeight="1">
      <c r="A27" s="48">
        <v>46168</v>
      </c>
      <c r="B27" s="49" t="str">
        <f t="shared" si="0"/>
        <v>الأسبوع الرابع</v>
      </c>
      <c r="C27" s="49">
        <v>70</v>
      </c>
      <c r="D27" s="49">
        <v>50</v>
      </c>
      <c r="E27" s="49">
        <f t="shared" si="1"/>
        <v>20</v>
      </c>
      <c r="F27" s="49">
        <f t="shared" si="2"/>
        <v>50</v>
      </c>
    </row>
    <row r="28" spans="1:6" ht="15" customHeight="1">
      <c r="A28" s="46">
        <v>46169</v>
      </c>
      <c r="B28" s="47" t="str">
        <f t="shared" si="0"/>
        <v>الأسبوع الرابع</v>
      </c>
      <c r="C28" s="47">
        <v>70</v>
      </c>
      <c r="D28" s="47">
        <v>60</v>
      </c>
      <c r="E28" s="47">
        <f t="shared" si="1"/>
        <v>10</v>
      </c>
      <c r="F28" s="47">
        <f t="shared" si="2"/>
        <v>60</v>
      </c>
    </row>
    <row r="29" spans="1:6" ht="15" customHeight="1">
      <c r="A29" s="48">
        <v>46170</v>
      </c>
      <c r="B29" s="49" t="str">
        <f t="shared" si="0"/>
        <v>الأسبوع الرابع</v>
      </c>
      <c r="C29" s="49">
        <v>70</v>
      </c>
      <c r="D29" s="49">
        <v>60</v>
      </c>
      <c r="E29" s="49">
        <f t="shared" si="1"/>
        <v>10</v>
      </c>
      <c r="F29" s="49">
        <f t="shared" si="2"/>
        <v>60</v>
      </c>
    </row>
    <row r="30" spans="1:6" ht="15" customHeight="1">
      <c r="A30" s="46">
        <v>46171</v>
      </c>
      <c r="B30" s="47" t="str">
        <f t="shared" si="0"/>
        <v>الأسبوع الخامس</v>
      </c>
      <c r="C30" s="47">
        <v>70</v>
      </c>
      <c r="D30" s="47">
        <v>50</v>
      </c>
      <c r="E30" s="47">
        <f t="shared" si="1"/>
        <v>20</v>
      </c>
      <c r="F30" s="47">
        <f t="shared" si="2"/>
        <v>50</v>
      </c>
    </row>
    <row r="31" spans="1:6" ht="15" customHeight="1">
      <c r="A31" s="48">
        <v>46172</v>
      </c>
      <c r="B31" s="49" t="str">
        <f t="shared" si="0"/>
        <v>الأسبوع الخامس</v>
      </c>
      <c r="C31" s="49">
        <v>70</v>
      </c>
      <c r="D31" s="49">
        <v>60</v>
      </c>
      <c r="E31" s="49">
        <f t="shared" si="1"/>
        <v>10</v>
      </c>
      <c r="F31" s="49">
        <f t="shared" si="2"/>
        <v>60</v>
      </c>
    </row>
    <row r="32" spans="1:6" ht="15" customHeight="1">
      <c r="A32" s="46">
        <v>46173</v>
      </c>
      <c r="B32" s="47" t="str">
        <f t="shared" si="0"/>
        <v>الأسبوع الخامس</v>
      </c>
      <c r="C32" s="47">
        <v>70</v>
      </c>
      <c r="D32" s="47">
        <v>55</v>
      </c>
      <c r="E32" s="47">
        <f t="shared" si="1"/>
        <v>15</v>
      </c>
      <c r="F32" s="47">
        <f t="shared" si="2"/>
        <v>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Dashboard</vt:lpstr>
      <vt:lpstr>البلاغات_DB</vt:lpstr>
      <vt:lpstr>الإحالات_DB</vt:lpstr>
      <vt:lpstr>الدوريات_DB</vt:lpstr>
      <vt:lpstr>الدورات_DB</vt:lpstr>
      <vt:lpstr>التمارين_DB</vt:lpstr>
      <vt:lpstr>الزيارات_DB</vt:lpstr>
      <vt:lpstr>الاحتياجات_DB</vt:lpstr>
      <vt:lpstr>القوى_البشرية_DB</vt:lpstr>
      <vt:lpstr>المركبات_DB</vt:lpstr>
      <vt:lpstr>الإحصائيات</vt:lpstr>
      <vt:lpstr>الإحالات</vt:lpstr>
      <vt:lpstr>البلاغات</vt:lpstr>
      <vt:lpstr>التمارين</vt:lpstr>
      <vt:lpstr>الدورات</vt:lpstr>
      <vt:lpstr>الزيارات</vt:lpstr>
      <vt:lpstr>الإحتياجات</vt:lpstr>
      <vt:lpstr>الدوريات</vt:lpstr>
      <vt:lpstr>جاهزية القوى البشرية</vt:lpstr>
      <vt:lpstr>المركبات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Abdallah Waleed</cp:lastModifiedBy>
  <cp:revision>1</cp:revision>
  <dcterms:created xsi:type="dcterms:W3CDTF">2026-06-06T16:09:29Z</dcterms:created>
  <dcterms:modified xsi:type="dcterms:W3CDTF">2026-06-06T19:19:04Z</dcterms:modified>
  <dc:language>en-US</dc:language>
</cp:coreProperties>
</file>